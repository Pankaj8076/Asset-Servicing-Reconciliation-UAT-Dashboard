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8A0516F8-BBBD-4A2A-9A70-C3CEC241E60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" sheetId="7" r:id="rId1"/>
    <sheet name="Exception Summary" sheetId="4" r:id="rId2"/>
    <sheet name="Asset_Servicing_Reconciliation" sheetId="5" r:id="rId3"/>
    <sheet name="UAT_Tracker" sheetId="6" r:id="rId4"/>
    <sheet name="Reconciliation" sheetId="1" r:id="rId5"/>
    <sheet name="System_A" sheetId="2" r:id="rId6"/>
    <sheet name="System_B" sheetId="3" r:id="rId7"/>
  </sheets>
  <calcPr calcId="191028"/>
  <pivotCaches>
    <pivotCache cacheId="12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</calcChain>
</file>

<file path=xl/sharedStrings.xml><?xml version="1.0" encoding="utf-8"?>
<sst xmlns="http://schemas.openxmlformats.org/spreadsheetml/2006/main" count="779" uniqueCount="216">
  <si>
    <t>KPI</t>
  </si>
  <si>
    <t>Formula</t>
  </si>
  <si>
    <t>Example Output</t>
  </si>
  <si>
    <t>Total Transactions</t>
  </si>
  <si>
    <t>=COUNTA(Reconciliation!A1)</t>
  </si>
  <si>
    <t>Matches</t>
  </si>
  <si>
    <t>=COUNTIF(Reconciliation!F:F,"Match")</t>
  </si>
  <si>
    <t>Mismatches</t>
  </si>
  <si>
    <t>=COUNTIF(Reconciliation!F:F,"Mismatch")</t>
  </si>
  <si>
    <t>Data Accuracy %</t>
  </si>
  <si>
    <t>=COUNTIF(Reconciliation!F:F,"Match")/COUNTA(Reconciliation!A:A)</t>
  </si>
  <si>
    <t>Match Status</t>
  </si>
  <si>
    <t>Mismatch</t>
  </si>
  <si>
    <t>Corporate_Action_Type</t>
  </si>
  <si>
    <t>Count of Match Status</t>
  </si>
  <si>
    <t>Bonus Issue</t>
  </si>
  <si>
    <t>Buyback</t>
  </si>
  <si>
    <t>Dividend</t>
  </si>
  <si>
    <t>Merger</t>
  </si>
  <si>
    <t>Split</t>
  </si>
  <si>
    <t>Grand Total</t>
  </si>
  <si>
    <t>Count of System A Transaction ID)</t>
  </si>
  <si>
    <t>Match</t>
  </si>
  <si>
    <t>(blank)</t>
  </si>
  <si>
    <t>Test Case ID</t>
  </si>
  <si>
    <t>Scenario</t>
  </si>
  <si>
    <t>Expected Result</t>
  </si>
  <si>
    <t>Actual Result</t>
  </si>
  <si>
    <t>Status</t>
  </si>
  <si>
    <t>Tester Comments</t>
  </si>
  <si>
    <t>TC001</t>
  </si>
  <si>
    <t>Validate XLOOKUP for Reconciliation</t>
  </si>
  <si>
    <t>Matching transactions display “Match”</t>
  </si>
  <si>
    <t>“Match” appears correctly</t>
  </si>
  <si>
    <t>Pass</t>
  </si>
  <si>
    <t>Working</t>
  </si>
  <si>
    <t>TC002</t>
  </si>
  <si>
    <t>Identify mismatched quantities</t>
  </si>
  <si>
    <t>Mismatch flag for incorrect quantities</t>
  </si>
  <si>
    <t>Mismatch flagged correctly</t>
  </si>
  <si>
    <t>TC003</t>
  </si>
  <si>
    <t>Handle missing IDs</t>
  </si>
  <si>
    <t>“Not Found” message displayed</t>
  </si>
  <si>
    <t>Error shown</t>
  </si>
  <si>
    <t>Fail</t>
  </si>
  <si>
    <t>Needs review</t>
  </si>
  <si>
    <t>TC004</t>
  </si>
  <si>
    <t>Validate PivotTable data</t>
  </si>
  <si>
    <t>Pivot count matches raw data</t>
  </si>
  <si>
    <t>In Progress</t>
  </si>
  <si>
    <t>Rechecking filter setup</t>
  </si>
  <si>
    <t>System A Transaction ID)</t>
  </si>
  <si>
    <t>Security_Type</t>
  </si>
  <si>
    <t>Quantity in System A</t>
  </si>
  <si>
    <t>Quantity in System B</t>
  </si>
  <si>
    <t>TXN1001</t>
  </si>
  <si>
    <t>Equity</t>
  </si>
  <si>
    <t>TXN1002</t>
  </si>
  <si>
    <t>TXN1003</t>
  </si>
  <si>
    <t>ETF</t>
  </si>
  <si>
    <t>TXN1004</t>
  </si>
  <si>
    <t>Bond</t>
  </si>
  <si>
    <t>TXN1005</t>
  </si>
  <si>
    <t>TXN1006</t>
  </si>
  <si>
    <t>TXN1007</t>
  </si>
  <si>
    <t>TXN1008</t>
  </si>
  <si>
    <t>Derivative</t>
  </si>
  <si>
    <t>TXN1009</t>
  </si>
  <si>
    <t>TXN1010</t>
  </si>
  <si>
    <t>TXN1011</t>
  </si>
  <si>
    <t>Mutual Fund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</si>
  <si>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</si>
  <si>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</si>
  <si>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</si>
  <si>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</si>
  <si>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</si>
  <si>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</si>
  <si>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</si>
  <si>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</si>
  <si>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</si>
  <si>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</si>
  <si>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</si>
  <si>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</si>
  <si>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</si>
  <si>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</si>
  <si>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</si>
  <si>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</si>
  <si>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</si>
  <si>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</si>
  <si>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</si>
  <si>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</si>
  <si>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</si>
  <si>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</si>
  <si>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</si>
  <si>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</si>
  <si>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</si>
  <si>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</si>
  <si>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</si>
  <si>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</si>
  <si>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</si>
  <si>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</si>
  <si>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</si>
  <si>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</si>
  <si>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</si>
  <si>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</si>
  <si>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</si>
  <si>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</si>
  <si>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</si>
  <si>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</si>
  <si>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</si>
  <si>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Transaction_ID</t>
  </si>
  <si>
    <t>ISIN</t>
  </si>
  <si>
    <t>Quantity</t>
  </si>
  <si>
    <t>Trade_Value</t>
  </si>
  <si>
    <t>Date</t>
  </si>
  <si>
    <t>IN00407419</t>
  </si>
  <si>
    <t>Completed</t>
  </si>
  <si>
    <t>IN00969693</t>
  </si>
  <si>
    <t>IN00759176</t>
  </si>
  <si>
    <t>IN00748564</t>
  </si>
  <si>
    <t>IN00479201</t>
  </si>
  <si>
    <t>IN00705397</t>
  </si>
  <si>
    <t>IN00301629</t>
  </si>
  <si>
    <t>IN00838797</t>
  </si>
  <si>
    <t>IN00172933</t>
  </si>
  <si>
    <t>IN00148050</t>
  </si>
  <si>
    <t>IN00793384</t>
  </si>
  <si>
    <t>IN00338968</t>
  </si>
  <si>
    <t>IN00910620</t>
  </si>
  <si>
    <t>IN00403445</t>
  </si>
  <si>
    <t>IN00183667</t>
  </si>
  <si>
    <t>IN00996865</t>
  </si>
  <si>
    <t>IN00344098</t>
  </si>
  <si>
    <t>IN00205907</t>
  </si>
  <si>
    <t>IN00498591</t>
  </si>
  <si>
    <t>IN00391476</t>
  </si>
  <si>
    <t>IN00575435</t>
  </si>
  <si>
    <t>IN00766563</t>
  </si>
  <si>
    <t>IN00974628</t>
  </si>
  <si>
    <t>IN00482554</t>
  </si>
  <si>
    <t>IN00270555</t>
  </si>
  <si>
    <t>IN00488162</t>
  </si>
  <si>
    <t>IN00472528</t>
  </si>
  <si>
    <t>IN00319684</t>
  </si>
  <si>
    <t>IN00802729</t>
  </si>
  <si>
    <t>IN00379946</t>
  </si>
  <si>
    <t>IN00835911</t>
  </si>
  <si>
    <t>IN00816751</t>
  </si>
  <si>
    <t>IN00779514</t>
  </si>
  <si>
    <t>IN00174870</t>
  </si>
  <si>
    <t>IN00738720</t>
  </si>
  <si>
    <t>IN00765822</t>
  </si>
  <si>
    <t>IN00279451</t>
  </si>
  <si>
    <t>IN00660086</t>
  </si>
  <si>
    <t>IN00864544</t>
  </si>
  <si>
    <t>IN00356702</t>
  </si>
  <si>
    <t>IN00271339</t>
  </si>
  <si>
    <t>IN00584714</t>
  </si>
  <si>
    <t>IN00497887</t>
  </si>
  <si>
    <t>IN00383060</t>
  </si>
  <si>
    <t>IN00771088</t>
  </si>
  <si>
    <t>IN00821590</t>
  </si>
  <si>
    <t>IN00684004</t>
  </si>
  <si>
    <t>IN00330283</t>
  </si>
  <si>
    <t>IN00817870</t>
  </si>
  <si>
    <t>IN00440035</t>
  </si>
  <si>
    <t>IN00109767</t>
  </si>
  <si>
    <t>IN00580547</t>
  </si>
  <si>
    <t>IN00751332</t>
  </si>
  <si>
    <t>IN00690341</t>
  </si>
  <si>
    <t>IN00204837</t>
  </si>
  <si>
    <t>IN00176819</t>
  </si>
  <si>
    <t>IN00663750</t>
  </si>
  <si>
    <t>IN00323508</t>
  </si>
  <si>
    <t>IN00630458</t>
  </si>
  <si>
    <t>IN00378082</t>
  </si>
  <si>
    <t>IN00238890</t>
  </si>
  <si>
    <t>IN00465962</t>
  </si>
  <si>
    <t>IN00172132</t>
  </si>
  <si>
    <t>IN00356150</t>
  </si>
  <si>
    <t>IN00487477</t>
  </si>
  <si>
    <t>IN00398830</t>
  </si>
  <si>
    <t>IN00265409</t>
  </si>
  <si>
    <t>IN00559469</t>
  </si>
  <si>
    <t>IN00974244</t>
  </si>
  <si>
    <t>IN00669605</t>
  </si>
  <si>
    <t>IN00837715</t>
  </si>
  <si>
    <t>IN00417212</t>
  </si>
  <si>
    <t>IN00741390</t>
  </si>
  <si>
    <t>IN00946305</t>
  </si>
  <si>
    <t>IN00785743</t>
  </si>
  <si>
    <t>IN00654634</t>
  </si>
  <si>
    <t>IN00108203</t>
  </si>
  <si>
    <t>IN00800305</t>
  </si>
  <si>
    <t>IN00956795</t>
  </si>
  <si>
    <t>IN00681542</t>
  </si>
  <si>
    <t>IN00413921</t>
  </si>
  <si>
    <t>IN00795613</t>
  </si>
  <si>
    <t>IN00208618</t>
  </si>
  <si>
    <t>IN00240814</t>
  </si>
  <si>
    <t>IN00377312</t>
  </si>
  <si>
    <t>IN00221035</t>
  </si>
  <si>
    <t>IN00212235</t>
  </si>
  <si>
    <t>IN00878480</t>
  </si>
  <si>
    <t>IN00680097</t>
  </si>
  <si>
    <t>IN00262998</t>
  </si>
  <si>
    <t>IN00385577</t>
  </si>
  <si>
    <t>IN00395442</t>
  </si>
  <si>
    <t>IN00734210</t>
  </si>
  <si>
    <t>IN00320861</t>
  </si>
  <si>
    <t>IN00852470</t>
  </si>
  <si>
    <t>IN00459536</t>
  </si>
  <si>
    <t>IN00313487</t>
  </si>
  <si>
    <t>IN00820892</t>
  </si>
  <si>
    <t>IN00765046</t>
  </si>
  <si>
    <t>IN00994343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</si>
</sst>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/>
    <xf numFmtId="14" fontId="1" fillId="0" borderId="0" xfId="0" applyNumberFormat="1" applyFont="1" applyBorder="1" applyAlignment="1"/>
    <xf numFmtId="0" fontId="0" fillId="0" borderId="0" xfId="0" pivotButton="1"/>
    <xf numFmtId="0" fontId="0" fillId="0" borderId="0" xfId="0" applyNumberFormat="1"/>
    <xf numFmtId="0" fontId="2" fillId="0" borderId="1" xfId="0" applyFont="1" applyBorder="1"/>
    <xf numFmtId="0" fontId="0" fillId="0" borderId="1" xfId="0" quotePrefix="1" applyBorder="1"/>
    <xf numFmtId="0" fontId="0" fillId="0" borderId="1" xfId="0" applyBorder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[Asset_Servicing_Reconciliation_Dashboard.xlsx]Asset_Servicing_Reconciliation!PivotTable3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Asset_Servicing_Reconciliation!$C$3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A4-4A69-806D-37B88B2396C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A4-4A69-806D-37B88B2396C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A4-4A69-806D-37B88B2396CC}"/>
              </c:ext>
            </c:extLst>
          </c:dPt>
          <c:cat>
            <c:strRef>
              <c:f>Asset_Servicing_Reconciliation!$B$4:$B$7</c:f>
              <c:strCache>
                <c:ptCount val="3"/>
                <c:pt idx="0">
                  <c:v>Match</c:v>
                </c:pt>
                <c:pt idx="1">
                  <c:v>Mismatch</c:v>
                </c:pt>
                <c:pt idx="2">
                  <c:v>(blank)</c:v>
                </c:pt>
              </c:strCache>
            </c:strRef>
          </c:cat>
          <c:val>
            <c:numRef>
              <c:f>Asset_Servicing_Reconciliation!$C$4:$C$7</c:f>
              <c:numCache>
                <c:formatCode>General</c:formatCode>
                <c:ptCount val="3"/>
                <c:pt idx="0">
                  <c:v>16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A4-4A69-806D-37B88B239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[Asset_Servicing_Reconciliation_Dashboard.xlsx]Exception Summary!PivotTable1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'Exception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'Exception Summary'!$A$4:$A$9</c:f>
              <c:strCache>
                <c:ptCount val="5"/>
                <c:pt idx="0">
                  <c:v>Bonus Issue</c:v>
                </c:pt>
                <c:pt idx="1">
                  <c:v>Buyback</c:v>
                </c:pt>
                <c:pt idx="2">
                  <c:v>Dividend</c:v>
                </c:pt>
                <c:pt idx="3">
                  <c:v>Merger</c:v>
                </c:pt>
                <c:pt idx="4">
                  <c:v>Split</c:v>
                </c:pt>
              </c:strCache>
            </c:strRef>
          </c:cat>
          <c:val>
            <c:numRef>
              <c:f>'Exception Summary'!$B$4:$B$9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0-40DE-B007-30C04B482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069320"/>
        <c:axId val="1813081096"/>
      </c:barChart>
      <c:catAx>
        <c:axId val="181306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081096"/>
        <c:crosses val="autoZero"/>
        <c:auto val="1"/>
        <c:lblAlgn val="ctr"/>
        <c:lblOffset val="100"/>
        <c:noMultiLvlLbl val="0"/>
      </c:catAx>
      <c:valAx>
        <c:axId val="181308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06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</xdr:row>
      <xdr:rowOff>38100</xdr:rowOff>
    </xdr:from>
    <xdr:to>
      <xdr:col>6</xdr:col>
      <xdr:colOff>171450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1C4DF6-36BB-D651-C5F8-2841D8530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2</xdr:row>
      <xdr:rowOff>19050</xdr:rowOff>
    </xdr:from>
    <xdr:to>
      <xdr:col>12</xdr:col>
      <xdr:colOff>485775</xdr:colOff>
      <xdr:row>14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407757-519E-0A0F-BCD9-F35DD6FE61C9}"/>
            </a:ext>
            <a:ext uri="{147F2762-F138-4A5C-976F-8EAC2B608ADB}">
              <a16:predDERef xmlns:a16="http://schemas.microsoft.com/office/drawing/2014/main" pred="{571C4DF6-36BB-D651-C5F8-2841D8530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47625</xdr:colOff>
      <xdr:row>17</xdr:row>
      <xdr:rowOff>28575</xdr:rowOff>
    </xdr:from>
    <xdr:to>
      <xdr:col>12</xdr:col>
      <xdr:colOff>600075</xdr:colOff>
      <xdr:row>19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9B0330-8318-0CB0-7DED-663875DD1079}"/>
            </a:ext>
            <a:ext uri="{147F2762-F138-4A5C-976F-8EAC2B608ADB}">
              <a16:predDERef xmlns:a16="http://schemas.microsoft.com/office/drawing/2014/main" pred="{98407757-519E-0A0F-BCD9-F35DD6FE61C9}"/>
            </a:ext>
          </a:extLst>
        </xdr:cNvPr>
        <xdr:cNvSpPr txBox="1"/>
      </xdr:nvSpPr>
      <xdr:spPr>
        <a:xfrm>
          <a:off x="5534025" y="3267075"/>
          <a:ext cx="238125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Developed by: Pankaj Chavan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7.491671064818" createdVersion="8" refreshedVersion="8" minRefreshableVersion="3" recordCount="51" xr:uid="{B4E0563C-E523-4150-89AC-A4B7C80306E9}">
  <cacheSource type="worksheet">
    <worksheetSource ref="A1:F1048576" sheet="Reconciliation"/>
  </cacheSource>
  <cacheFields count="6">
    <cacheField name="System A Transaction ID)" numFmtId="0">
      <sharedItems containsBlank="1"/>
    </cacheField>
    <cacheField name="Security_Type" numFmtId="0">
      <sharedItems containsBlank="1"/>
    </cacheField>
    <cacheField name="Corporate_Action_Type" numFmtId="0">
      <sharedItems containsBlank="1" count="6">
        <s v="Buyback"/>
        <s v="Merger"/>
        <s v="Bonus Issue"/>
        <s v="Split"/>
        <s v="Dividend"/>
        <m/>
      </sharedItems>
    </cacheField>
    <cacheField name="Quantity in System A" numFmtId="0">
      <sharedItems containsString="0" containsBlank="1" containsNumber="1" containsInteger="1" minValue="66" maxValue="498"/>
    </cacheField>
    <cacheField name="Quantity in System B" numFmtId="0">
      <sharedItems containsString="0" containsBlank="1" containsNumber="1" containsInteger="1" minValue="71" maxValue="498"/>
    </cacheField>
    <cacheField name="Match Status" numFmtId="0">
      <sharedItems containsBlank="1" count="3">
        <s v="Match"/>
        <s v="Mismatc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TXN1001"/>
    <s v="Equity"/>
    <x v="0"/>
    <n v="481"/>
    <n v="481"/>
    <x v="0"/>
  </r>
  <r>
    <s v="TXN1002"/>
    <s v="Equity"/>
    <x v="0"/>
    <n v="443"/>
    <n v="448"/>
    <x v="1"/>
  </r>
  <r>
    <s v="TXN1003"/>
    <s v="ETF"/>
    <x v="1"/>
    <n v="447"/>
    <n v="447"/>
    <x v="0"/>
  </r>
  <r>
    <s v="TXN1004"/>
    <s v="Bond"/>
    <x v="2"/>
    <n v="78"/>
    <n v="78"/>
    <x v="0"/>
  </r>
  <r>
    <s v="TXN1005"/>
    <s v="Bond"/>
    <x v="0"/>
    <n v="167"/>
    <n v="162"/>
    <x v="1"/>
  </r>
  <r>
    <s v="TXN1006"/>
    <s v="Bond"/>
    <x v="2"/>
    <n v="470"/>
    <n v="465"/>
    <x v="1"/>
  </r>
  <r>
    <s v="TXN1007"/>
    <s v="Equity"/>
    <x v="3"/>
    <n v="66"/>
    <n v="71"/>
    <x v="1"/>
  </r>
  <r>
    <s v="TXN1008"/>
    <s v="Derivative"/>
    <x v="1"/>
    <n v="462"/>
    <n v="462"/>
    <x v="0"/>
  </r>
  <r>
    <s v="TXN1009"/>
    <s v="Equity"/>
    <x v="3"/>
    <n v="211"/>
    <n v="211"/>
    <x v="0"/>
  </r>
  <r>
    <s v="TXN1010"/>
    <s v="Derivative"/>
    <x v="1"/>
    <n v="255"/>
    <n v="250"/>
    <x v="1"/>
  </r>
  <r>
    <s v="TXN1011"/>
    <s v="Mutual Fund"/>
    <x v="0"/>
    <n v="187"/>
    <n v="182"/>
    <x v="1"/>
  </r>
  <r>
    <s v="TXN1012"/>
    <s v="Equity"/>
    <x v="1"/>
    <n v="83"/>
    <n v="83"/>
    <x v="0"/>
  </r>
  <r>
    <s v="TXN1013"/>
    <s v="Equity"/>
    <x v="4"/>
    <n v="158"/>
    <n v="153"/>
    <x v="1"/>
  </r>
  <r>
    <s v="TXN1014"/>
    <s v="Equity"/>
    <x v="2"/>
    <n v="340"/>
    <n v="345"/>
    <x v="1"/>
  </r>
  <r>
    <s v="TXN1015"/>
    <s v="Bond"/>
    <x v="2"/>
    <n v="498"/>
    <n v="498"/>
    <x v="0"/>
  </r>
  <r>
    <s v="TXN1016"/>
    <s v="Bond"/>
    <x v="4"/>
    <n v="417"/>
    <n v="412"/>
    <x v="1"/>
  </r>
  <r>
    <s v="TXN1017"/>
    <s v="Derivative"/>
    <x v="3"/>
    <n v="211"/>
    <n v="216"/>
    <x v="1"/>
  </r>
  <r>
    <s v="TXN1018"/>
    <s v="Derivative"/>
    <x v="4"/>
    <n v="158"/>
    <n v="158"/>
    <x v="0"/>
  </r>
  <r>
    <s v="TXN1019"/>
    <s v="Equity"/>
    <x v="0"/>
    <n v="385"/>
    <n v="390"/>
    <x v="1"/>
  </r>
  <r>
    <s v="TXN1020"/>
    <s v="Derivative"/>
    <x v="0"/>
    <n v="305"/>
    <n v="310"/>
    <x v="1"/>
  </r>
  <r>
    <s v="TXN1021"/>
    <s v="Bond"/>
    <x v="2"/>
    <n v="252"/>
    <n v="252"/>
    <x v="0"/>
  </r>
  <r>
    <s v="TXN1022"/>
    <s v="Derivative"/>
    <x v="0"/>
    <n v="379"/>
    <n v="384"/>
    <x v="1"/>
  </r>
  <r>
    <s v="TXN1023"/>
    <s v="Mutual Fund"/>
    <x v="2"/>
    <n v="284"/>
    <n v="279"/>
    <x v="1"/>
  </r>
  <r>
    <s v="TXN1024"/>
    <s v="Bond"/>
    <x v="4"/>
    <n v="123"/>
    <n v="118"/>
    <x v="1"/>
  </r>
  <r>
    <s v="TXN1025"/>
    <s v="Mutual Fund"/>
    <x v="4"/>
    <n v="185"/>
    <n v="180"/>
    <x v="1"/>
  </r>
  <r>
    <s v="TXN1026"/>
    <s v="Derivative"/>
    <x v="4"/>
    <n v="121"/>
    <n v="126"/>
    <x v="1"/>
  </r>
  <r>
    <s v="TXN1027"/>
    <s v="ETF"/>
    <x v="2"/>
    <n v="176"/>
    <n v="171"/>
    <x v="1"/>
  </r>
  <r>
    <s v="TXN1028"/>
    <s v="Equity"/>
    <x v="4"/>
    <n v="431"/>
    <n v="436"/>
    <x v="1"/>
  </r>
  <r>
    <s v="TXN1029"/>
    <s v="Bond"/>
    <x v="4"/>
    <n v="337"/>
    <n v="332"/>
    <x v="1"/>
  </r>
  <r>
    <s v="TXN1030"/>
    <s v="Mutual Fund"/>
    <x v="3"/>
    <n v="325"/>
    <n v="325"/>
    <x v="0"/>
  </r>
  <r>
    <s v="TXN1031"/>
    <s v="ETF"/>
    <x v="4"/>
    <n v="184"/>
    <n v="189"/>
    <x v="1"/>
  </r>
  <r>
    <s v="TXN1032"/>
    <s v="ETF"/>
    <x v="0"/>
    <n v="432"/>
    <n v="437"/>
    <x v="1"/>
  </r>
  <r>
    <s v="TXN1033"/>
    <s v="Bond"/>
    <x v="2"/>
    <n v="349"/>
    <n v="344"/>
    <x v="1"/>
  </r>
  <r>
    <s v="TXN1034"/>
    <s v="Bond"/>
    <x v="3"/>
    <n v="269"/>
    <n v="269"/>
    <x v="0"/>
  </r>
  <r>
    <s v="TXN1035"/>
    <s v="ETF"/>
    <x v="1"/>
    <n v="348"/>
    <n v="343"/>
    <x v="1"/>
  </r>
  <r>
    <s v="TXN1036"/>
    <s v="Equity"/>
    <x v="2"/>
    <n v="254"/>
    <n v="249"/>
    <x v="1"/>
  </r>
  <r>
    <s v="TXN1037"/>
    <s v="Equity"/>
    <x v="0"/>
    <n v="235"/>
    <n v="235"/>
    <x v="0"/>
  </r>
  <r>
    <s v="TXN1038"/>
    <s v="Mutual Fund"/>
    <x v="2"/>
    <n v="162"/>
    <n v="162"/>
    <x v="0"/>
  </r>
  <r>
    <s v="TXN1039"/>
    <s v="Equity"/>
    <x v="0"/>
    <n v="120"/>
    <n v="115"/>
    <x v="1"/>
  </r>
  <r>
    <s v="TXN1040"/>
    <s v="ETF"/>
    <x v="0"/>
    <n v="310"/>
    <n v="310"/>
    <x v="0"/>
  </r>
  <r>
    <s v="TXN1041"/>
    <s v="ETF"/>
    <x v="1"/>
    <n v="302"/>
    <n v="297"/>
    <x v="1"/>
  </r>
  <r>
    <s v="TXN1042"/>
    <s v="Derivative"/>
    <x v="2"/>
    <n v="96"/>
    <n v="101"/>
    <x v="1"/>
  </r>
  <r>
    <s v="TXN1043"/>
    <s v="ETF"/>
    <x v="1"/>
    <n v="436"/>
    <n v="431"/>
    <x v="1"/>
  </r>
  <r>
    <s v="TXN1044"/>
    <s v="Equity"/>
    <x v="1"/>
    <n v="74"/>
    <n v="79"/>
    <x v="1"/>
  </r>
  <r>
    <s v="TXN1045"/>
    <s v="Mutual Fund"/>
    <x v="2"/>
    <n v="490"/>
    <n v="485"/>
    <x v="1"/>
  </r>
  <r>
    <s v="TXN1046"/>
    <s v="Derivative"/>
    <x v="4"/>
    <n v="106"/>
    <n v="106"/>
    <x v="0"/>
  </r>
  <r>
    <s v="TXN1047"/>
    <s v="Equity"/>
    <x v="4"/>
    <n v="128"/>
    <n v="133"/>
    <x v="1"/>
  </r>
  <r>
    <s v="TXN1048"/>
    <s v="Mutual Fund"/>
    <x v="1"/>
    <n v="371"/>
    <n v="371"/>
    <x v="0"/>
  </r>
  <r>
    <s v="TXN1049"/>
    <s v="Equity"/>
    <x v="3"/>
    <n v="131"/>
    <n v="136"/>
    <x v="1"/>
  </r>
  <r>
    <s v="TXN1050"/>
    <s v="Derivative"/>
    <x v="1"/>
    <n v="455"/>
    <n v="460"/>
    <x v="1"/>
  </r>
  <r>
    <m/>
    <m/>
    <x v="5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98CC5-C05B-4CDC-99DB-545F2AEBEB79}" name="PivotTable1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 rowPageCount="1" colPageCount="1"/>
  <pivotFields count="6">
    <pivotField compact="0" outline="0" showAll="0"/>
    <pivotField compact="0" outline="0" showAll="0"/>
    <pivotField axis="axisRow" compact="0" outline="0" showAll="0">
      <items count="7">
        <item x="2"/>
        <item x="0"/>
        <item x="4"/>
        <item x="1"/>
        <item x="3"/>
        <item x="5"/>
        <item t="default"/>
      </items>
    </pivotField>
    <pivotField compact="0" outline="0" showAll="0"/>
    <pivotField compact="0" outline="0" showAll="0"/>
    <pivotField axis="axisPage" dataField="1" compact="0" outline="0" multipleItemSelectionAllowed="1" showAll="0">
      <items count="4">
        <item h="1" x="0"/>
        <item x="1"/>
        <item h="1" x="2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-1"/>
  </pageFields>
  <dataFields count="1">
    <dataField name="Count of Match Status" fld="5" subtotal="count" baseField="0" baseItem="0"/>
  </dataFields>
  <chartFormats count="4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903B4-7D09-4348-BA88-79D692FFF02E}" name="PivotTable3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3:C7" firstHeaderRow="1" firstDataRow="1" firstDataCol="1"/>
  <pivotFields count="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ystem A Transaction ID)" fld="0" subtotal="count" baseField="0" baseItem="0"/>
  </dataFields>
  <chartFormats count="1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EC2C-EA37-41B6-A9B4-F20897B1FEE9}">
  <dimension ref="C16:I20"/>
  <sheetViews>
    <sheetView tabSelected="1" topLeftCell="A6" workbookViewId="0">
      <selection activeCell="K16" sqref="K16"/>
    </sheetView>
  </sheetViews>
  <sheetFormatPr defaultRowHeight="15"/>
  <sheetData>
    <row r="16" spans="3:5">
      <c r="C16" s="5" t="s">
        <v>0</v>
      </c>
      <c r="D16" s="5" t="s">
        <v>1</v>
      </c>
      <c r="E16" s="5" t="s">
        <v>2</v>
      </c>
    </row>
    <row r="17" spans="3:9">
      <c r="C17" s="5" t="s">
        <v>3</v>
      </c>
      <c r="D17" s="6" t="s">
        <v>4</v>
      </c>
      <c r="E17" s="7">
        <v>1</v>
      </c>
    </row>
    <row r="18" spans="3:9">
      <c r="C18" s="5" t="s">
        <v>5</v>
      </c>
      <c r="D18" s="6" t="s">
        <v>6</v>
      </c>
      <c r="E18" s="7">
        <v>16</v>
      </c>
    </row>
    <row r="19" spans="3:9">
      <c r="C19" s="5" t="s">
        <v>7</v>
      </c>
      <c r="D19" s="6" t="s">
        <v>8</v>
      </c>
      <c r="E19" s="7">
        <v>34</v>
      </c>
      <c r="I19" s="8"/>
    </row>
    <row r="20" spans="3:9">
      <c r="C20" s="5" t="s">
        <v>9</v>
      </c>
      <c r="D20" s="6" t="s">
        <v>10</v>
      </c>
      <c r="E20" s="7">
        <v>0.31372549019607843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277D-49DE-4098-9412-B99ED2E6E4E5}">
  <dimension ref="A1:B9"/>
  <sheetViews>
    <sheetView workbookViewId="0"/>
  </sheetViews>
  <sheetFormatPr defaultRowHeight="15"/>
  <cols>
    <col min="1" max="1" width="24.5703125" bestFit="1" customWidth="1"/>
    <col min="2" max="2" width="20.42578125" bestFit="1" customWidth="1"/>
    <col min="3" max="3" width="11.140625" bestFit="1" customWidth="1"/>
  </cols>
  <sheetData>
    <row r="1" spans="1:2">
      <c r="A1" s="3" t="s">
        <v>11</v>
      </c>
      <c r="B1" t="s">
        <v>12</v>
      </c>
    </row>
    <row r="3" spans="1:2">
      <c r="A3" s="3" t="s">
        <v>13</v>
      </c>
      <c r="B3" t="s">
        <v>14</v>
      </c>
    </row>
    <row r="4" spans="1:2">
      <c r="A4" t="s">
        <v>15</v>
      </c>
      <c r="B4" s="4">
        <v>8</v>
      </c>
    </row>
    <row r="5" spans="1:2">
      <c r="A5" t="s">
        <v>16</v>
      </c>
      <c r="B5" s="4">
        <v>8</v>
      </c>
    </row>
    <row r="6" spans="1:2">
      <c r="A6" t="s">
        <v>17</v>
      </c>
      <c r="B6" s="4">
        <v>9</v>
      </c>
    </row>
    <row r="7" spans="1:2">
      <c r="A7" t="s">
        <v>18</v>
      </c>
      <c r="B7" s="4">
        <v>6</v>
      </c>
    </row>
    <row r="8" spans="1:2">
      <c r="A8" t="s">
        <v>19</v>
      </c>
      <c r="B8" s="4">
        <v>3</v>
      </c>
    </row>
    <row r="9" spans="1:2">
      <c r="A9" t="s">
        <v>20</v>
      </c>
      <c r="B9" s="4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BDF5-7F2A-45C5-AD53-DFCDA4F4E0F6}">
  <dimension ref="B3:C7"/>
  <sheetViews>
    <sheetView workbookViewId="0">
      <selection activeCell="C5" sqref="C5"/>
    </sheetView>
  </sheetViews>
  <sheetFormatPr defaultRowHeight="15"/>
  <cols>
    <col min="2" max="2" width="15.5703125" bestFit="1" customWidth="1"/>
    <col min="3" max="3" width="30.7109375" bestFit="1" customWidth="1"/>
  </cols>
  <sheetData>
    <row r="3" spans="2:3">
      <c r="B3" s="3" t="s">
        <v>11</v>
      </c>
      <c r="C3" t="s">
        <v>21</v>
      </c>
    </row>
    <row r="4" spans="2:3">
      <c r="B4" t="s">
        <v>22</v>
      </c>
      <c r="C4" s="4">
        <v>16</v>
      </c>
    </row>
    <row r="5" spans="2:3">
      <c r="B5" t="s">
        <v>12</v>
      </c>
      <c r="C5" s="4">
        <v>34</v>
      </c>
    </row>
    <row r="6" spans="2:3">
      <c r="B6" t="s">
        <v>23</v>
      </c>
      <c r="C6" s="4"/>
    </row>
    <row r="7" spans="2:3">
      <c r="B7" t="s">
        <v>20</v>
      </c>
      <c r="C7" s="4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8E4C-5448-4DC3-B97B-4D9B03687168}">
  <dimension ref="A1:F5"/>
  <sheetViews>
    <sheetView workbookViewId="0">
      <selection activeCell="F5" sqref="F5"/>
    </sheetView>
  </sheetViews>
  <sheetFormatPr defaultColWidth="16.140625" defaultRowHeight="15"/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</row>
    <row r="3" spans="1:6">
      <c r="A3" t="s">
        <v>36</v>
      </c>
      <c r="B3" t="s">
        <v>37</v>
      </c>
      <c r="C3" t="s">
        <v>38</v>
      </c>
      <c r="D3" t="s">
        <v>39</v>
      </c>
      <c r="E3" t="s">
        <v>34</v>
      </c>
      <c r="F3" t="s">
        <v>35</v>
      </c>
    </row>
    <row r="4" spans="1:6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</row>
    <row r="5" spans="1:6">
      <c r="A5" t="s">
        <v>46</v>
      </c>
      <c r="B5" t="s">
        <v>47</v>
      </c>
      <c r="C5" t="s">
        <v>47</v>
      </c>
      <c r="D5" t="s">
        <v>48</v>
      </c>
      <c r="E5" t="s">
        <v>49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/>
  </sheetViews>
  <sheetFormatPr defaultColWidth="15.7109375" defaultRowHeight="15"/>
  <sheetData>
    <row r="1" spans="1:6">
      <c r="A1" t="s">
        <v>51</v>
      </c>
      <c r="B1" s="1" t="s">
        <v>52</v>
      </c>
      <c r="C1" s="1" t="s">
        <v>13</v>
      </c>
      <c r="D1" t="s">
        <v>53</v>
      </c>
      <c r="E1" t="s">
        <v>54</v>
      </c>
      <c r="F1" t="s">
        <v>11</v>
      </c>
    </row>
    <row r="2" spans="1:6">
      <c r="A2" s="1" t="s">
        <v>55</v>
      </c>
      <c r="B2" s="1" t="s">
        <v>56</v>
      </c>
      <c r="C2" s="1" t="s">
        <v>16</v>
      </c>
      <c r="D2" s="1">
        <v>481</v>
      </c>
      <c r="E2">
        <f>_xlfn.XLOOKUP(A2,System_B!A:A,System_B!D:D)</f>
        <v>481</v>
      </c>
      <c r="F2" t="s">
        <v>22</v>
      </c>
    </row>
    <row r="3" spans="1:6">
      <c r="A3" s="1" t="s">
        <v>57</v>
      </c>
      <c r="B3" s="1" t="s">
        <v>56</v>
      </c>
      <c r="C3" s="1" t="s">
        <v>16</v>
      </c>
      <c r="D3" s="1">
        <v>443</v>
      </c>
      <c r="E3">
        <f>_xlfn.XLOOKUP(A3,System_B!A:A,System_B!D:D)</f>
        <v>448</v>
      </c>
      <c r="F3" t="s">
        <v>12</v>
      </c>
    </row>
    <row r="4" spans="1:6">
      <c r="A4" s="1" t="s">
        <v>58</v>
      </c>
      <c r="B4" s="1" t="s">
        <v>59</v>
      </c>
      <c r="C4" s="1" t="s">
        <v>18</v>
      </c>
      <c r="D4" s="1">
        <v>447</v>
      </c>
      <c r="E4">
        <f>_xlfn.XLOOKUP(A4,System_B!A:A,System_B!D:D)</f>
        <v>447</v>
      </c>
      <c r="F4" t="s">
        <v>22</v>
      </c>
    </row>
    <row r="5" spans="1:6">
      <c r="A5" s="1" t="s">
        <v>60</v>
      </c>
      <c r="B5" s="1" t="s">
        <v>61</v>
      </c>
      <c r="C5" s="1" t="s">
        <v>15</v>
      </c>
      <c r="D5" s="1">
        <v>78</v>
      </c>
      <c r="E5">
        <f>_xlfn.XLOOKUP(A5,System_B!A:A,System_B!D:D)</f>
        <v>78</v>
      </c>
      <c r="F5" t="s">
        <v>22</v>
      </c>
    </row>
    <row r="6" spans="1:6">
      <c r="A6" s="1" t="s">
        <v>62</v>
      </c>
      <c r="B6" s="1" t="s">
        <v>61</v>
      </c>
      <c r="C6" s="1" t="s">
        <v>16</v>
      </c>
      <c r="D6" s="1">
        <v>167</v>
      </c>
      <c r="E6">
        <f>_xlfn.XLOOKUP(A6,System_B!A:A,System_B!D:D)</f>
        <v>162</v>
      </c>
      <c r="F6" t="s">
        <v>12</v>
      </c>
    </row>
    <row r="7" spans="1:6">
      <c r="A7" s="1" t="s">
        <v>63</v>
      </c>
      <c r="B7" s="1" t="s">
        <v>61</v>
      </c>
      <c r="C7" s="1" t="s">
        <v>15</v>
      </c>
      <c r="D7" s="1">
        <v>470</v>
      </c>
      <c r="E7">
        <f>_xlfn.XLOOKUP(A7,System_B!A:A,System_B!D:D)</f>
        <v>465</v>
      </c>
      <c r="F7" t="s">
        <v>12</v>
      </c>
    </row>
    <row r="8" spans="1:6">
      <c r="A8" s="1" t="s">
        <v>64</v>
      </c>
      <c r="B8" s="1" t="s">
        <v>56</v>
      </c>
      <c r="C8" s="1" t="s">
        <v>19</v>
      </c>
      <c r="D8" s="1">
        <v>66</v>
      </c>
      <c r="E8">
        <f>_xlfn.XLOOKUP(A8,System_B!A:A,System_B!D:D)</f>
        <v>71</v>
      </c>
      <c r="F8" t="s">
        <v>12</v>
      </c>
    </row>
    <row r="9" spans="1:6">
      <c r="A9" s="1" t="s">
        <v>65</v>
      </c>
      <c r="B9" s="1" t="s">
        <v>66</v>
      </c>
      <c r="C9" s="1" t="s">
        <v>18</v>
      </c>
      <c r="D9" s="1">
        <v>462</v>
      </c>
      <c r="E9">
        <f>_xlfn.XLOOKUP(A9,System_B!A:A,System_B!D:D)</f>
        <v>462</v>
      </c>
      <c r="F9" t="s">
        <v>22</v>
      </c>
    </row>
    <row r="10" spans="1:6">
      <c r="A10" s="1" t="s">
        <v>67</v>
      </c>
      <c r="B10" s="1" t="s">
        <v>56</v>
      </c>
      <c r="C10" s="1" t="s">
        <v>19</v>
      </c>
      <c r="D10" s="1">
        <v>211</v>
      </c>
      <c r="E10">
        <f>_xlfn.XLOOKUP(A10,System_B!A:A,System_B!D:D)</f>
        <v>211</v>
      </c>
      <c r="F10" t="s">
        <v>22</v>
      </c>
    </row>
    <row r="11" spans="1:6">
      <c r="A11" s="1" t="s">
        <v>68</v>
      </c>
      <c r="B11" s="1" t="s">
        <v>66</v>
      </c>
      <c r="C11" s="1" t="s">
        <v>18</v>
      </c>
      <c r="D11" s="1">
        <v>255</v>
      </c>
      <c r="E11">
        <f>_xlfn.XLOOKUP(A11,System_B!A:A,System_B!D:D)</f>
        <v>250</v>
      </c>
      <c r="F11" t="s">
        <v>12</v>
      </c>
    </row>
    <row r="12" spans="1:6">
      <c r="A12" s="1" t="s">
        <v>69</v>
      </c>
      <c r="B12" s="1" t="s">
        <v>70</v>
      </c>
      <c r="C12" s="1" t="s">
        <v>16</v>
      </c>
      <c r="D12" s="1">
        <v>187</v>
      </c>
      <c r="E12">
        <f>_xlfn.XLOOKUP(A12,System_B!A:A,System_B!D:D)</f>
        <v>182</v>
      </c>
      <c r="F12" t="s">
        <v>12</v>
      </c>
    </row>
    <row r="13" spans="1:6">
      <c r="A13" s="1" t="s">
        <v>71</v>
      </c>
      <c r="B13" s="1" t="s">
        <v>56</v>
      </c>
      <c r="C13" s="1" t="s">
        <v>18</v>
      </c>
      <c r="D13" s="1">
        <v>83</v>
      </c>
      <c r="E13">
        <f>_xlfn.XLOOKUP(A13,System_B!A:A,System_B!D:D)</f>
        <v>83</v>
      </c>
      <c r="F13" t="s">
        <v>22</v>
      </c>
    </row>
    <row r="14" spans="1:6">
      <c r="A14" s="1" t="s">
        <v>72</v>
      </c>
      <c r="B14" s="1" t="s">
        <v>56</v>
      </c>
      <c r="C14" s="1" t="s">
        <v>17</v>
      </c>
      <c r="D14" s="1">
        <v>158</v>
      </c>
      <c r="E14">
        <f>_xlfn.XLOOKUP(A14,System_B!A:A,System_B!D:D)</f>
        <v>153</v>
      </c>
      <c r="F14" t="s">
        <v>12</v>
      </c>
    </row>
    <row r="15" spans="1:6">
      <c r="A15" s="1" t="s">
        <v>73</v>
      </c>
      <c r="B15" s="1" t="s">
        <v>56</v>
      </c>
      <c r="C15" s="1" t="s">
        <v>15</v>
      </c>
      <c r="D15" s="1">
        <v>340</v>
      </c>
      <c r="E15">
        <f>_xlfn.XLOOKUP(A15,System_B!A:A,System_B!D:D)</f>
        <v>345</v>
      </c>
      <c r="F15" t="s">
        <v>12</v>
      </c>
    </row>
    <row r="16" spans="1:6">
      <c r="A16" s="1" t="s">
        <v>74</v>
      </c>
      <c r="B16" s="1" t="s">
        <v>61</v>
      </c>
      <c r="C16" s="1" t="s">
        <v>15</v>
      </c>
      <c r="D16" s="1">
        <v>498</v>
      </c>
      <c r="E16">
        <f>_xlfn.XLOOKUP(A16,System_B!A:A,System_B!D:D)</f>
        <v>498</v>
      </c>
      <c r="F16" t="s">
        <v>22</v>
      </c>
    </row>
    <row r="17" spans="1:6">
      <c r="A17" s="1" t="s">
        <v>75</v>
      </c>
      <c r="B17" s="1" t="s">
        <v>61</v>
      </c>
      <c r="C17" s="1" t="s">
        <v>17</v>
      </c>
      <c r="D17" s="1">
        <v>417</v>
      </c>
      <c r="E17">
        <f>_xlfn.XLOOKUP(A17,System_B!A:A,System_B!D:D)</f>
        <v>412</v>
      </c>
      <c r="F17" t="s">
        <v>12</v>
      </c>
    </row>
    <row r="18" spans="1:6">
      <c r="A18" s="1" t="s">
        <v>76</v>
      </c>
      <c r="B18" s="1" t="s">
        <v>66</v>
      </c>
      <c r="C18" s="1" t="s">
        <v>19</v>
      </c>
      <c r="D18" s="1">
        <v>211</v>
      </c>
      <c r="E18">
        <f>_xlfn.XLOOKUP(A18,System_B!A:A,System_B!D:D)</f>
        <v>216</v>
      </c>
      <c r="F18" t="s">
        <v>12</v>
      </c>
    </row>
    <row r="19" spans="1:6">
      <c r="A19" s="1" t="s">
        <v>77</v>
      </c>
      <c r="B19" s="1" t="s">
        <v>66</v>
      </c>
      <c r="C19" s="1" t="s">
        <v>17</v>
      </c>
      <c r="D19" s="1">
        <v>158</v>
      </c>
      <c r="E19">
        <f>_xlfn.XLOOKUP(A19,System_B!A:A,System_B!D:D)</f>
        <v>158</v>
      </c>
      <c r="F19" t="s">
        <v>22</v>
      </c>
    </row>
    <row r="20" spans="1:6">
      <c r="A20" s="1" t="s">
        <v>78</v>
      </c>
      <c r="B20" s="1" t="s">
        <v>56</v>
      </c>
      <c r="C20" s="1" t="s">
        <v>16</v>
      </c>
      <c r="D20" s="1">
        <v>385</v>
      </c>
      <c r="E20">
        <f>_xlfn.XLOOKUP(A20,System_B!A:A,System_B!D:D)</f>
        <v>390</v>
      </c>
      <c r="F20" t="s">
        <v>12</v>
      </c>
    </row>
    <row r="21" spans="1:6">
      <c r="A21" s="1" t="s">
        <v>79</v>
      </c>
      <c r="B21" s="1" t="s">
        <v>66</v>
      </c>
      <c r="C21" s="1" t="s">
        <v>16</v>
      </c>
      <c r="D21" s="1">
        <v>305</v>
      </c>
      <c r="E21">
        <f>_xlfn.XLOOKUP(A21,System_B!A:A,System_B!D:D)</f>
        <v>310</v>
      </c>
      <c r="F21" t="s">
        <v>12</v>
      </c>
    </row>
    <row r="22" spans="1:6">
      <c r="A22" s="1" t="s">
        <v>80</v>
      </c>
      <c r="B22" s="1" t="s">
        <v>61</v>
      </c>
      <c r="C22" s="1" t="s">
        <v>15</v>
      </c>
      <c r="D22" s="1">
        <v>252</v>
      </c>
      <c r="E22">
        <f>_xlfn.XLOOKUP(A22,System_B!A:A,System_B!D:D)</f>
        <v>252</v>
      </c>
      <c r="F22" t="s">
        <v>22</v>
      </c>
    </row>
    <row r="23" spans="1:6">
      <c r="A23" s="1" t="s">
        <v>81</v>
      </c>
      <c r="B23" s="1" t="s">
        <v>66</v>
      </c>
      <c r="C23" s="1" t="s">
        <v>16</v>
      </c>
      <c r="D23" s="1">
        <v>379</v>
      </c>
      <c r="E23">
        <f>_xlfn.XLOOKUP(A23,System_B!A:A,System_B!D:D)</f>
        <v>384</v>
      </c>
      <c r="F23" t="s">
        <v>12</v>
      </c>
    </row>
    <row r="24" spans="1:6">
      <c r="A24" s="1" t="s">
        <v>82</v>
      </c>
      <c r="B24" s="1" t="s">
        <v>70</v>
      </c>
      <c r="C24" s="1" t="s">
        <v>15</v>
      </c>
      <c r="D24" s="1">
        <v>284</v>
      </c>
      <c r="E24">
        <f>_xlfn.XLOOKUP(A24,System_B!A:A,System_B!D:D)</f>
        <v>279</v>
      </c>
      <c r="F24" t="s">
        <v>12</v>
      </c>
    </row>
    <row r="25" spans="1:6">
      <c r="A25" s="1" t="s">
        <v>83</v>
      </c>
      <c r="B25" s="1" t="s">
        <v>61</v>
      </c>
      <c r="C25" s="1" t="s">
        <v>17</v>
      </c>
      <c r="D25" s="1">
        <v>123</v>
      </c>
      <c r="E25">
        <f>_xlfn.XLOOKUP(A25,System_B!A:A,System_B!D:D)</f>
        <v>118</v>
      </c>
      <c r="F25" t="s">
        <v>12</v>
      </c>
    </row>
    <row r="26" spans="1:6">
      <c r="A26" s="1" t="s">
        <v>84</v>
      </c>
      <c r="B26" s="1" t="s">
        <v>70</v>
      </c>
      <c r="C26" s="1" t="s">
        <v>17</v>
      </c>
      <c r="D26" s="1">
        <v>185</v>
      </c>
      <c r="E26">
        <f>_xlfn.XLOOKUP(A26,System_B!A:A,System_B!D:D)</f>
        <v>180</v>
      </c>
      <c r="F26" t="s">
        <v>12</v>
      </c>
    </row>
    <row r="27" spans="1:6">
      <c r="A27" s="1" t="s">
        <v>85</v>
      </c>
      <c r="B27" s="1" t="s">
        <v>66</v>
      </c>
      <c r="C27" s="1" t="s">
        <v>17</v>
      </c>
      <c r="D27" s="1">
        <v>121</v>
      </c>
      <c r="E27">
        <f>_xlfn.XLOOKUP(A27,System_B!A:A,System_B!D:D)</f>
        <v>126</v>
      </c>
      <c r="F27" t="s">
        <v>12</v>
      </c>
    </row>
    <row r="28" spans="1:6">
      <c r="A28" s="1" t="s">
        <v>86</v>
      </c>
      <c r="B28" s="1" t="s">
        <v>59</v>
      </c>
      <c r="C28" s="1" t="s">
        <v>15</v>
      </c>
      <c r="D28" s="1">
        <v>176</v>
      </c>
      <c r="E28">
        <f>_xlfn.XLOOKUP(A28,System_B!A:A,System_B!D:D)</f>
        <v>171</v>
      </c>
      <c r="F28" t="s">
        <v>12</v>
      </c>
    </row>
    <row r="29" spans="1:6">
      <c r="A29" s="1" t="s">
        <v>87</v>
      </c>
      <c r="B29" s="1" t="s">
        <v>56</v>
      </c>
      <c r="C29" s="1" t="s">
        <v>17</v>
      </c>
      <c r="D29" s="1">
        <v>431</v>
      </c>
      <c r="E29">
        <f>_xlfn.XLOOKUP(A29,System_B!A:A,System_B!D:D)</f>
        <v>436</v>
      </c>
      <c r="F29" t="s">
        <v>12</v>
      </c>
    </row>
    <row r="30" spans="1:6">
      <c r="A30" s="1" t="s">
        <v>88</v>
      </c>
      <c r="B30" s="1" t="s">
        <v>61</v>
      </c>
      <c r="C30" s="1" t="s">
        <v>17</v>
      </c>
      <c r="D30" s="1">
        <v>337</v>
      </c>
      <c r="E30">
        <f>_xlfn.XLOOKUP(A30,System_B!A:A,System_B!D:D)</f>
        <v>332</v>
      </c>
      <c r="F30" t="s">
        <v>12</v>
      </c>
    </row>
    <row r="31" spans="1:6">
      <c r="A31" s="1" t="s">
        <v>89</v>
      </c>
      <c r="B31" s="1" t="s">
        <v>70</v>
      </c>
      <c r="C31" s="1" t="s">
        <v>19</v>
      </c>
      <c r="D31" s="1">
        <v>325</v>
      </c>
      <c r="E31">
        <f>_xlfn.XLOOKUP(A31,System_B!A:A,System_B!D:D)</f>
        <v>325</v>
      </c>
      <c r="F31" t="s">
        <v>22</v>
      </c>
    </row>
    <row r="32" spans="1:6">
      <c r="A32" s="1" t="s">
        <v>90</v>
      </c>
      <c r="B32" s="1" t="s">
        <v>59</v>
      </c>
      <c r="C32" s="1" t="s">
        <v>17</v>
      </c>
      <c r="D32" s="1">
        <v>184</v>
      </c>
      <c r="E32">
        <f>_xlfn.XLOOKUP(A32,System_B!A:A,System_B!D:D)</f>
        <v>189</v>
      </c>
      <c r="F32" t="s">
        <v>12</v>
      </c>
    </row>
    <row r="33" spans="1:6">
      <c r="A33" s="1" t="s">
        <v>91</v>
      </c>
      <c r="B33" s="1" t="s">
        <v>59</v>
      </c>
      <c r="C33" s="1" t="s">
        <v>16</v>
      </c>
      <c r="D33" s="1">
        <v>432</v>
      </c>
      <c r="E33">
        <f>_xlfn.XLOOKUP(A33,System_B!A:A,System_B!D:D)</f>
        <v>437</v>
      </c>
      <c r="F33" t="s">
        <v>12</v>
      </c>
    </row>
    <row r="34" spans="1:6">
      <c r="A34" s="1" t="s">
        <v>92</v>
      </c>
      <c r="B34" s="1" t="s">
        <v>61</v>
      </c>
      <c r="C34" s="1" t="s">
        <v>15</v>
      </c>
      <c r="D34" s="1">
        <v>349</v>
      </c>
      <c r="E34">
        <f>_xlfn.XLOOKUP(A34,System_B!A:A,System_B!D:D)</f>
        <v>344</v>
      </c>
      <c r="F34" t="s">
        <v>12</v>
      </c>
    </row>
    <row r="35" spans="1:6">
      <c r="A35" s="1" t="s">
        <v>93</v>
      </c>
      <c r="B35" s="1" t="s">
        <v>61</v>
      </c>
      <c r="C35" s="1" t="s">
        <v>19</v>
      </c>
      <c r="D35" s="1">
        <v>269</v>
      </c>
      <c r="E35">
        <f>_xlfn.XLOOKUP(A35,System_B!A:A,System_B!D:D)</f>
        <v>269</v>
      </c>
      <c r="F35" t="s">
        <v>22</v>
      </c>
    </row>
    <row r="36" spans="1:6">
      <c r="A36" s="1" t="s">
        <v>94</v>
      </c>
      <c r="B36" s="1" t="s">
        <v>59</v>
      </c>
      <c r="C36" s="1" t="s">
        <v>18</v>
      </c>
      <c r="D36" s="1">
        <v>348</v>
      </c>
      <c r="E36">
        <f>_xlfn.XLOOKUP(A36,System_B!A:A,System_B!D:D)</f>
        <v>343</v>
      </c>
      <c r="F36" t="s">
        <v>12</v>
      </c>
    </row>
    <row r="37" spans="1:6">
      <c r="A37" s="1" t="s">
        <v>95</v>
      </c>
      <c r="B37" s="1" t="s">
        <v>56</v>
      </c>
      <c r="C37" s="1" t="s">
        <v>15</v>
      </c>
      <c r="D37" s="1">
        <v>254</v>
      </c>
      <c r="E37">
        <f>_xlfn.XLOOKUP(A37,System_B!A:A,System_B!D:D)</f>
        <v>249</v>
      </c>
      <c r="F37" t="s">
        <v>12</v>
      </c>
    </row>
    <row r="38" spans="1:6">
      <c r="A38" s="1" t="s">
        <v>96</v>
      </c>
      <c r="B38" s="1" t="s">
        <v>56</v>
      </c>
      <c r="C38" s="1" t="s">
        <v>16</v>
      </c>
      <c r="D38" s="1">
        <v>235</v>
      </c>
      <c r="E38">
        <f>_xlfn.XLOOKUP(A38,System_B!A:A,System_B!D:D)</f>
        <v>235</v>
      </c>
      <c r="F38" t="s">
        <v>22</v>
      </c>
    </row>
    <row r="39" spans="1:6">
      <c r="A39" s="1" t="s">
        <v>97</v>
      </c>
      <c r="B39" s="1" t="s">
        <v>70</v>
      </c>
      <c r="C39" s="1" t="s">
        <v>15</v>
      </c>
      <c r="D39" s="1">
        <v>162</v>
      </c>
      <c r="E39">
        <f>_xlfn.XLOOKUP(A39,System_B!A:A,System_B!D:D)</f>
        <v>162</v>
      </c>
      <c r="F39" t="s">
        <v>22</v>
      </c>
    </row>
    <row r="40" spans="1:6">
      <c r="A40" s="1" t="s">
        <v>98</v>
      </c>
      <c r="B40" s="1" t="s">
        <v>56</v>
      </c>
      <c r="C40" s="1" t="s">
        <v>16</v>
      </c>
      <c r="D40" s="1">
        <v>120</v>
      </c>
      <c r="E40">
        <f>_xlfn.XLOOKUP(A40,System_B!A:A,System_B!D:D)</f>
        <v>115</v>
      </c>
      <c r="F40" t="s">
        <v>12</v>
      </c>
    </row>
    <row r="41" spans="1:6">
      <c r="A41" s="1" t="s">
        <v>99</v>
      </c>
      <c r="B41" s="1" t="s">
        <v>59</v>
      </c>
      <c r="C41" s="1" t="s">
        <v>16</v>
      </c>
      <c r="D41" s="1">
        <v>310</v>
      </c>
      <c r="E41">
        <f>_xlfn.XLOOKUP(A41,System_B!A:A,System_B!D:D)</f>
        <v>310</v>
      </c>
      <c r="F41" t="s">
        <v>22</v>
      </c>
    </row>
    <row r="42" spans="1:6">
      <c r="A42" s="1" t="s">
        <v>100</v>
      </c>
      <c r="B42" s="1" t="s">
        <v>59</v>
      </c>
      <c r="C42" s="1" t="s">
        <v>18</v>
      </c>
      <c r="D42" s="1">
        <v>302</v>
      </c>
      <c r="E42">
        <f>_xlfn.XLOOKUP(A42,System_B!A:A,System_B!D:D)</f>
        <v>297</v>
      </c>
      <c r="F42" t="s">
        <v>12</v>
      </c>
    </row>
    <row r="43" spans="1:6">
      <c r="A43" s="1" t="s">
        <v>101</v>
      </c>
      <c r="B43" s="1" t="s">
        <v>66</v>
      </c>
      <c r="C43" s="1" t="s">
        <v>15</v>
      </c>
      <c r="D43" s="1">
        <v>96</v>
      </c>
      <c r="E43">
        <f>_xlfn.XLOOKUP(A43,System_B!A:A,System_B!D:D)</f>
        <v>101</v>
      </c>
      <c r="F43" t="s">
        <v>12</v>
      </c>
    </row>
    <row r="44" spans="1:6">
      <c r="A44" s="1" t="s">
        <v>102</v>
      </c>
      <c r="B44" s="1" t="s">
        <v>59</v>
      </c>
      <c r="C44" s="1" t="s">
        <v>18</v>
      </c>
      <c r="D44" s="1">
        <v>436</v>
      </c>
      <c r="E44">
        <f>_xlfn.XLOOKUP(A44,System_B!A:A,System_B!D:D)</f>
        <v>431</v>
      </c>
      <c r="F44" t="s">
        <v>12</v>
      </c>
    </row>
    <row r="45" spans="1:6">
      <c r="A45" s="1" t="s">
        <v>103</v>
      </c>
      <c r="B45" s="1" t="s">
        <v>56</v>
      </c>
      <c r="C45" s="1" t="s">
        <v>18</v>
      </c>
      <c r="D45" s="1">
        <v>74</v>
      </c>
      <c r="E45">
        <f>_xlfn.XLOOKUP(A45,System_B!A:A,System_B!D:D)</f>
        <v>79</v>
      </c>
      <c r="F45" t="s">
        <v>12</v>
      </c>
    </row>
    <row r="46" spans="1:6">
      <c r="A46" s="1" t="s">
        <v>104</v>
      </c>
      <c r="B46" s="1" t="s">
        <v>70</v>
      </c>
      <c r="C46" s="1" t="s">
        <v>15</v>
      </c>
      <c r="D46" s="1">
        <v>490</v>
      </c>
      <c r="E46">
        <f>_xlfn.XLOOKUP(A46,System_B!A:A,System_B!D:D)</f>
        <v>485</v>
      </c>
      <c r="F46" t="s">
        <v>12</v>
      </c>
    </row>
    <row r="47" spans="1:6">
      <c r="A47" s="1" t="s">
        <v>105</v>
      </c>
      <c r="B47" s="1" t="s">
        <v>66</v>
      </c>
      <c r="C47" s="1" t="s">
        <v>17</v>
      </c>
      <c r="D47" s="1">
        <v>106</v>
      </c>
      <c r="E47">
        <f>_xlfn.XLOOKUP(A47,System_B!A:A,System_B!D:D)</f>
        <v>106</v>
      </c>
      <c r="F47" t="s">
        <v>22</v>
      </c>
    </row>
    <row r="48" spans="1:6">
      <c r="A48" s="1" t="s">
        <v>106</v>
      </c>
      <c r="B48" s="1" t="s">
        <v>56</v>
      </c>
      <c r="C48" s="1" t="s">
        <v>17</v>
      </c>
      <c r="D48" s="1">
        <v>128</v>
      </c>
      <c r="E48">
        <f>_xlfn.XLOOKUP(A48,System_B!A:A,System_B!D:D)</f>
        <v>133</v>
      </c>
      <c r="F48" t="s">
        <v>12</v>
      </c>
    </row>
    <row r="49" spans="1:6">
      <c r="A49" s="1" t="s">
        <v>107</v>
      </c>
      <c r="B49" s="1" t="s">
        <v>70</v>
      </c>
      <c r="C49" s="1" t="s">
        <v>18</v>
      </c>
      <c r="D49" s="1">
        <v>371</v>
      </c>
      <c r="E49">
        <f>_xlfn.XLOOKUP(A49,System_B!A:A,System_B!D:D)</f>
        <v>371</v>
      </c>
      <c r="F49" t="s">
        <v>22</v>
      </c>
    </row>
    <row r="50" spans="1:6">
      <c r="A50" s="1" t="s">
        <v>108</v>
      </c>
      <c r="B50" s="1" t="s">
        <v>56</v>
      </c>
      <c r="C50" s="1" t="s">
        <v>19</v>
      </c>
      <c r="D50" s="1">
        <v>131</v>
      </c>
      <c r="E50">
        <f>_xlfn.XLOOKUP(A50,System_B!A:A,System_B!D:D)</f>
        <v>136</v>
      </c>
      <c r="F50" t="s">
        <v>12</v>
      </c>
    </row>
    <row r="51" spans="1:6">
      <c r="A51" s="1" t="s">
        <v>109</v>
      </c>
      <c r="B51" s="1" t="s">
        <v>66</v>
      </c>
      <c r="C51" s="1" t="s">
        <v>18</v>
      </c>
      <c r="D51" s="1">
        <v>455</v>
      </c>
      <c r="E51">
        <f>_xlfn.XLOOKUP(A51,System_B!A:A,System_B!D:D)</f>
        <v>460</v>
      </c>
      <c r="F51" t="s">
        <v>12</v>
      </c>
    </row>
  </sheetData>
  <conditionalFormatting sqref="F2:F51">
    <cfRule type="containsText" dxfId="1" priority="2" operator="containsText" text="Match">
      <formula>NOT(ISERROR(SEARCH("Match",F2)))</formula>
    </cfRule>
  </conditionalFormatting>
  <conditionalFormatting sqref="F2:F51">
    <cfRule type="containsText" dxfId="0" priority="1" operator="containsText" text="Mismatch">
      <formula>NOT(ISERROR(SEARCH("Mismatch",F2)))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587F-D6AA-4E28-B6A8-EEDB4019C8C4}">
  <dimension ref="A1:H51"/>
  <sheetViews>
    <sheetView topLeftCell="A32" workbookViewId="0">
      <selection activeCell="D2" sqref="D2:D51"/>
    </sheetView>
  </sheetViews>
  <sheetFormatPr defaultRowHeight="15"/>
  <sheetData>
    <row r="1" spans="1:8">
      <c r="A1" s="1" t="s">
        <v>110</v>
      </c>
      <c r="B1" s="1" t="s">
        <v>52</v>
      </c>
      <c r="C1" s="1" t="s">
        <v>111</v>
      </c>
      <c r="D1" s="1" t="s">
        <v>112</v>
      </c>
      <c r="E1" s="1" t="s">
        <v>113</v>
      </c>
      <c r="F1" s="1" t="s">
        <v>13</v>
      </c>
      <c r="G1" s="1" t="s">
        <v>114</v>
      </c>
      <c r="H1" s="1" t="s">
        <v>28</v>
      </c>
    </row>
    <row r="2" spans="1:8">
      <c r="A2" s="1" t="s">
        <v>55</v>
      </c>
      <c r="B2" s="1" t="s">
        <v>56</v>
      </c>
      <c r="C2" s="1" t="s">
        <v>115</v>
      </c>
      <c r="D2" s="1">
        <v>481</v>
      </c>
      <c r="E2" s="1">
        <v>37219.25</v>
      </c>
      <c r="F2" s="1" t="s">
        <v>16</v>
      </c>
      <c r="G2" s="2">
        <v>45502</v>
      </c>
      <c r="H2" s="1" t="s">
        <v>116</v>
      </c>
    </row>
    <row r="3" spans="1:8">
      <c r="A3" s="1" t="s">
        <v>57</v>
      </c>
      <c r="B3" s="1" t="s">
        <v>56</v>
      </c>
      <c r="C3" s="1" t="s">
        <v>117</v>
      </c>
      <c r="D3" s="1">
        <v>443</v>
      </c>
      <c r="E3" s="1">
        <v>33856.36</v>
      </c>
      <c r="F3" s="1" t="s">
        <v>16</v>
      </c>
      <c r="G3" s="2">
        <v>45531</v>
      </c>
      <c r="H3" s="1" t="s">
        <v>116</v>
      </c>
    </row>
    <row r="4" spans="1:8">
      <c r="A4" s="1" t="s">
        <v>58</v>
      </c>
      <c r="B4" s="1" t="s">
        <v>59</v>
      </c>
      <c r="C4" s="1" t="s">
        <v>118</v>
      </c>
      <c r="D4" s="1">
        <v>447</v>
      </c>
      <c r="E4" s="1">
        <v>25390.69</v>
      </c>
      <c r="F4" s="1" t="s">
        <v>18</v>
      </c>
      <c r="G4" s="2">
        <v>45319</v>
      </c>
      <c r="H4" s="1" t="s">
        <v>116</v>
      </c>
    </row>
    <row r="5" spans="1:8">
      <c r="A5" s="1" t="s">
        <v>60</v>
      </c>
      <c r="B5" s="1" t="s">
        <v>61</v>
      </c>
      <c r="C5" s="1" t="s">
        <v>119</v>
      </c>
      <c r="D5" s="1">
        <v>78</v>
      </c>
      <c r="E5" s="1">
        <v>33835.54</v>
      </c>
      <c r="F5" s="1" t="s">
        <v>15</v>
      </c>
      <c r="G5" s="2">
        <v>45636</v>
      </c>
      <c r="H5" s="1" t="s">
        <v>116</v>
      </c>
    </row>
    <row r="6" spans="1:8">
      <c r="A6" s="1" t="s">
        <v>62</v>
      </c>
      <c r="B6" s="1" t="s">
        <v>61</v>
      </c>
      <c r="C6" s="1" t="s">
        <v>120</v>
      </c>
      <c r="D6" s="1">
        <v>167</v>
      </c>
      <c r="E6" s="1">
        <v>28722</v>
      </c>
      <c r="F6" s="1" t="s">
        <v>16</v>
      </c>
      <c r="G6" s="2">
        <v>45626</v>
      </c>
      <c r="H6" s="1" t="s">
        <v>116</v>
      </c>
    </row>
    <row r="7" spans="1:8">
      <c r="A7" s="1" t="s">
        <v>63</v>
      </c>
      <c r="B7" s="1" t="s">
        <v>61</v>
      </c>
      <c r="C7" s="1" t="s">
        <v>121</v>
      </c>
      <c r="D7" s="1">
        <v>470</v>
      </c>
      <c r="E7" s="1">
        <v>20056.560000000001</v>
      </c>
      <c r="F7" s="1" t="s">
        <v>15</v>
      </c>
      <c r="G7" s="2">
        <v>45622</v>
      </c>
      <c r="H7" s="1" t="s">
        <v>116</v>
      </c>
    </row>
    <row r="8" spans="1:8">
      <c r="A8" s="1" t="s">
        <v>64</v>
      </c>
      <c r="B8" s="1" t="s">
        <v>56</v>
      </c>
      <c r="C8" s="1" t="s">
        <v>122</v>
      </c>
      <c r="D8" s="1">
        <v>66</v>
      </c>
      <c r="E8" s="1">
        <v>32129.040000000001</v>
      </c>
      <c r="F8" s="1" t="s">
        <v>19</v>
      </c>
      <c r="G8" s="2">
        <v>45342</v>
      </c>
      <c r="H8" s="1" t="s">
        <v>116</v>
      </c>
    </row>
    <row r="9" spans="1:8">
      <c r="A9" s="1" t="s">
        <v>65</v>
      </c>
      <c r="B9" s="1" t="s">
        <v>66</v>
      </c>
      <c r="C9" s="1" t="s">
        <v>123</v>
      </c>
      <c r="D9" s="1">
        <v>462</v>
      </c>
      <c r="E9" s="1">
        <v>47697.23</v>
      </c>
      <c r="F9" s="1" t="s">
        <v>18</v>
      </c>
      <c r="G9" s="2">
        <v>45323</v>
      </c>
      <c r="H9" s="1" t="s">
        <v>116</v>
      </c>
    </row>
    <row r="10" spans="1:8">
      <c r="A10" s="1" t="s">
        <v>67</v>
      </c>
      <c r="B10" s="1" t="s">
        <v>56</v>
      </c>
      <c r="C10" s="1" t="s">
        <v>124</v>
      </c>
      <c r="D10" s="1">
        <v>211</v>
      </c>
      <c r="E10" s="1">
        <v>37211.339999999997</v>
      </c>
      <c r="F10" s="1" t="s">
        <v>19</v>
      </c>
      <c r="G10" s="2">
        <v>45498</v>
      </c>
      <c r="H10" s="1" t="s">
        <v>116</v>
      </c>
    </row>
    <row r="11" spans="1:8">
      <c r="A11" s="1" t="s">
        <v>68</v>
      </c>
      <c r="B11" s="1" t="s">
        <v>66</v>
      </c>
      <c r="C11" s="1" t="s">
        <v>125</v>
      </c>
      <c r="D11" s="1">
        <v>255</v>
      </c>
      <c r="E11" s="1">
        <v>14582.07</v>
      </c>
      <c r="F11" s="1" t="s">
        <v>18</v>
      </c>
      <c r="G11" s="2">
        <v>45465</v>
      </c>
      <c r="H11" s="1" t="s">
        <v>116</v>
      </c>
    </row>
    <row r="12" spans="1:8">
      <c r="A12" s="1" t="s">
        <v>69</v>
      </c>
      <c r="B12" s="1" t="s">
        <v>70</v>
      </c>
      <c r="C12" s="1" t="s">
        <v>126</v>
      </c>
      <c r="D12" s="1">
        <v>187</v>
      </c>
      <c r="E12" s="1">
        <v>45391.54</v>
      </c>
      <c r="F12" s="1" t="s">
        <v>16</v>
      </c>
      <c r="G12" s="2">
        <v>45347</v>
      </c>
      <c r="H12" s="1" t="s">
        <v>116</v>
      </c>
    </row>
    <row r="13" spans="1:8">
      <c r="A13" s="1" t="s">
        <v>71</v>
      </c>
      <c r="B13" s="1" t="s">
        <v>56</v>
      </c>
      <c r="C13" s="1" t="s">
        <v>127</v>
      </c>
      <c r="D13" s="1">
        <v>83</v>
      </c>
      <c r="E13" s="1">
        <v>40035.11</v>
      </c>
      <c r="F13" s="1" t="s">
        <v>18</v>
      </c>
      <c r="G13" s="2">
        <v>45419</v>
      </c>
      <c r="H13" s="1" t="s">
        <v>116</v>
      </c>
    </row>
    <row r="14" spans="1:8">
      <c r="A14" s="1" t="s">
        <v>72</v>
      </c>
      <c r="B14" s="1" t="s">
        <v>56</v>
      </c>
      <c r="C14" s="1" t="s">
        <v>128</v>
      </c>
      <c r="D14" s="1">
        <v>158</v>
      </c>
      <c r="E14" s="1">
        <v>40743.949999999997</v>
      </c>
      <c r="F14" s="1" t="s">
        <v>17</v>
      </c>
      <c r="G14" s="2">
        <v>45390</v>
      </c>
      <c r="H14" s="1" t="s">
        <v>116</v>
      </c>
    </row>
    <row r="15" spans="1:8">
      <c r="A15" s="1" t="s">
        <v>73</v>
      </c>
      <c r="B15" s="1" t="s">
        <v>56</v>
      </c>
      <c r="C15" s="1" t="s">
        <v>129</v>
      </c>
      <c r="D15" s="1">
        <v>340</v>
      </c>
      <c r="E15" s="1">
        <v>23607.02</v>
      </c>
      <c r="F15" s="1" t="s">
        <v>15</v>
      </c>
      <c r="G15" s="2">
        <v>45389</v>
      </c>
      <c r="H15" s="1" t="s">
        <v>116</v>
      </c>
    </row>
    <row r="16" spans="1:8">
      <c r="A16" s="1" t="s">
        <v>74</v>
      </c>
      <c r="B16" s="1" t="s">
        <v>61</v>
      </c>
      <c r="C16" s="1" t="s">
        <v>130</v>
      </c>
      <c r="D16" s="1">
        <v>498</v>
      </c>
      <c r="E16" s="1">
        <v>21740.01</v>
      </c>
      <c r="F16" s="1" t="s">
        <v>15</v>
      </c>
      <c r="G16" s="2">
        <v>45566</v>
      </c>
      <c r="H16" s="1" t="s">
        <v>116</v>
      </c>
    </row>
    <row r="17" spans="1:8">
      <c r="A17" s="1" t="s">
        <v>75</v>
      </c>
      <c r="B17" s="1" t="s">
        <v>61</v>
      </c>
      <c r="C17" s="1" t="s">
        <v>131</v>
      </c>
      <c r="D17" s="1">
        <v>417</v>
      </c>
      <c r="E17" s="1">
        <v>16326.31</v>
      </c>
      <c r="F17" s="1" t="s">
        <v>17</v>
      </c>
      <c r="G17" s="2">
        <v>45521</v>
      </c>
      <c r="H17" s="1" t="s">
        <v>116</v>
      </c>
    </row>
    <row r="18" spans="1:8">
      <c r="A18" s="1" t="s">
        <v>76</v>
      </c>
      <c r="B18" s="1" t="s">
        <v>66</v>
      </c>
      <c r="C18" s="1" t="s">
        <v>132</v>
      </c>
      <c r="D18" s="1">
        <v>211</v>
      </c>
      <c r="E18" s="1">
        <v>10129.81</v>
      </c>
      <c r="F18" s="1" t="s">
        <v>19</v>
      </c>
      <c r="G18" s="2">
        <v>45363</v>
      </c>
      <c r="H18" s="1" t="s">
        <v>116</v>
      </c>
    </row>
    <row r="19" spans="1:8">
      <c r="A19" s="1" t="s">
        <v>77</v>
      </c>
      <c r="B19" s="1" t="s">
        <v>66</v>
      </c>
      <c r="C19" s="1" t="s">
        <v>133</v>
      </c>
      <c r="D19" s="1">
        <v>158</v>
      </c>
      <c r="E19" s="1">
        <v>38883.68</v>
      </c>
      <c r="F19" s="1" t="s">
        <v>17</v>
      </c>
      <c r="G19" s="2">
        <v>45508</v>
      </c>
      <c r="H19" s="1" t="s">
        <v>116</v>
      </c>
    </row>
    <row r="20" spans="1:8">
      <c r="A20" s="1" t="s">
        <v>78</v>
      </c>
      <c r="B20" s="1" t="s">
        <v>56</v>
      </c>
      <c r="C20" s="1" t="s">
        <v>134</v>
      </c>
      <c r="D20" s="1">
        <v>385</v>
      </c>
      <c r="E20" s="1">
        <v>38787.230000000003</v>
      </c>
      <c r="F20" s="1" t="s">
        <v>16</v>
      </c>
      <c r="G20" s="2">
        <v>45385</v>
      </c>
      <c r="H20" s="1" t="s">
        <v>116</v>
      </c>
    </row>
    <row r="21" spans="1:8">
      <c r="A21" s="1" t="s">
        <v>79</v>
      </c>
      <c r="B21" s="1" t="s">
        <v>66</v>
      </c>
      <c r="C21" s="1" t="s">
        <v>135</v>
      </c>
      <c r="D21" s="1">
        <v>305</v>
      </c>
      <c r="E21" s="1">
        <v>48875.519999999997</v>
      </c>
      <c r="F21" s="1" t="s">
        <v>16</v>
      </c>
      <c r="G21" s="2">
        <v>45434</v>
      </c>
      <c r="H21" s="1" t="s">
        <v>116</v>
      </c>
    </row>
    <row r="22" spans="1:8">
      <c r="A22" s="1" t="s">
        <v>80</v>
      </c>
      <c r="B22" s="1" t="s">
        <v>61</v>
      </c>
      <c r="C22" s="1" t="s">
        <v>136</v>
      </c>
      <c r="D22" s="1">
        <v>252</v>
      </c>
      <c r="E22" s="1">
        <v>40478.49</v>
      </c>
      <c r="F22" s="1" t="s">
        <v>15</v>
      </c>
      <c r="G22" s="2">
        <v>45528</v>
      </c>
      <c r="H22" s="1" t="s">
        <v>116</v>
      </c>
    </row>
    <row r="23" spans="1:8">
      <c r="A23" s="1" t="s">
        <v>81</v>
      </c>
      <c r="B23" s="1" t="s">
        <v>66</v>
      </c>
      <c r="C23" s="1" t="s">
        <v>137</v>
      </c>
      <c r="D23" s="1">
        <v>379</v>
      </c>
      <c r="E23" s="1">
        <v>30307.27</v>
      </c>
      <c r="F23" s="1" t="s">
        <v>16</v>
      </c>
      <c r="G23" s="2">
        <v>45419</v>
      </c>
      <c r="H23" s="1" t="s">
        <v>116</v>
      </c>
    </row>
    <row r="24" spans="1:8">
      <c r="A24" s="1" t="s">
        <v>82</v>
      </c>
      <c r="B24" s="1" t="s">
        <v>70</v>
      </c>
      <c r="C24" s="1" t="s">
        <v>138</v>
      </c>
      <c r="D24" s="1">
        <v>284</v>
      </c>
      <c r="E24" s="1">
        <v>14256.43</v>
      </c>
      <c r="F24" s="1" t="s">
        <v>15</v>
      </c>
      <c r="G24" s="2">
        <v>45330</v>
      </c>
      <c r="H24" s="1" t="s">
        <v>116</v>
      </c>
    </row>
    <row r="25" spans="1:8">
      <c r="A25" s="1" t="s">
        <v>83</v>
      </c>
      <c r="B25" s="1" t="s">
        <v>61</v>
      </c>
      <c r="C25" s="1" t="s">
        <v>139</v>
      </c>
      <c r="D25" s="1">
        <v>123</v>
      </c>
      <c r="E25" s="1">
        <v>35012.01</v>
      </c>
      <c r="F25" s="1" t="s">
        <v>17</v>
      </c>
      <c r="G25" s="2">
        <v>45518</v>
      </c>
      <c r="H25" s="1" t="s">
        <v>116</v>
      </c>
    </row>
    <row r="26" spans="1:8">
      <c r="A26" s="1" t="s">
        <v>84</v>
      </c>
      <c r="B26" s="1" t="s">
        <v>70</v>
      </c>
      <c r="C26" s="1" t="s">
        <v>140</v>
      </c>
      <c r="D26" s="1">
        <v>185</v>
      </c>
      <c r="E26" s="1">
        <v>43666.77</v>
      </c>
      <c r="F26" s="1" t="s">
        <v>17</v>
      </c>
      <c r="G26" s="2">
        <v>45573</v>
      </c>
      <c r="H26" s="1" t="s">
        <v>116</v>
      </c>
    </row>
    <row r="27" spans="1:8">
      <c r="A27" s="1" t="s">
        <v>85</v>
      </c>
      <c r="B27" s="1" t="s">
        <v>66</v>
      </c>
      <c r="C27" s="1" t="s">
        <v>141</v>
      </c>
      <c r="D27" s="1">
        <v>121</v>
      </c>
      <c r="E27" s="1">
        <v>30306.52</v>
      </c>
      <c r="F27" s="1" t="s">
        <v>17</v>
      </c>
      <c r="G27" s="2">
        <v>45342</v>
      </c>
      <c r="H27" s="1" t="s">
        <v>116</v>
      </c>
    </row>
    <row r="28" spans="1:8">
      <c r="A28" s="1" t="s">
        <v>86</v>
      </c>
      <c r="B28" s="1" t="s">
        <v>59</v>
      </c>
      <c r="C28" s="1" t="s">
        <v>142</v>
      </c>
      <c r="D28" s="1">
        <v>176</v>
      </c>
      <c r="E28" s="1">
        <v>17956.439999999999</v>
      </c>
      <c r="F28" s="1" t="s">
        <v>15</v>
      </c>
      <c r="G28" s="2">
        <v>45317</v>
      </c>
      <c r="H28" s="1" t="s">
        <v>116</v>
      </c>
    </row>
    <row r="29" spans="1:8">
      <c r="A29" s="1" t="s">
        <v>87</v>
      </c>
      <c r="B29" s="1" t="s">
        <v>56</v>
      </c>
      <c r="C29" s="1" t="s">
        <v>143</v>
      </c>
      <c r="D29" s="1">
        <v>431</v>
      </c>
      <c r="E29" s="1">
        <v>24956.55</v>
      </c>
      <c r="F29" s="1" t="s">
        <v>17</v>
      </c>
      <c r="G29" s="2">
        <v>45625</v>
      </c>
      <c r="H29" s="1" t="s">
        <v>116</v>
      </c>
    </row>
    <row r="30" spans="1:8">
      <c r="A30" s="1" t="s">
        <v>88</v>
      </c>
      <c r="B30" s="1" t="s">
        <v>61</v>
      </c>
      <c r="C30" s="1" t="s">
        <v>144</v>
      </c>
      <c r="D30" s="1">
        <v>337</v>
      </c>
      <c r="E30" s="1">
        <v>16461.96</v>
      </c>
      <c r="F30" s="1" t="s">
        <v>17</v>
      </c>
      <c r="G30" s="2">
        <v>45568</v>
      </c>
      <c r="H30" s="1" t="s">
        <v>116</v>
      </c>
    </row>
    <row r="31" spans="1:8">
      <c r="A31" s="1" t="s">
        <v>89</v>
      </c>
      <c r="B31" s="1" t="s">
        <v>70</v>
      </c>
      <c r="C31" s="1" t="s">
        <v>145</v>
      </c>
      <c r="D31" s="1">
        <v>325</v>
      </c>
      <c r="E31" s="1">
        <v>48139.99</v>
      </c>
      <c r="F31" s="1" t="s">
        <v>19</v>
      </c>
      <c r="G31" s="2">
        <v>45299</v>
      </c>
      <c r="H31" s="1" t="s">
        <v>116</v>
      </c>
    </row>
    <row r="32" spans="1:8">
      <c r="A32" s="1" t="s">
        <v>90</v>
      </c>
      <c r="B32" s="1" t="s">
        <v>59</v>
      </c>
      <c r="C32" s="1" t="s">
        <v>146</v>
      </c>
      <c r="D32" s="1">
        <v>184</v>
      </c>
      <c r="E32" s="1">
        <v>46897.36</v>
      </c>
      <c r="F32" s="1" t="s">
        <v>17</v>
      </c>
      <c r="G32" s="2">
        <v>45339</v>
      </c>
      <c r="H32" s="1" t="s">
        <v>116</v>
      </c>
    </row>
    <row r="33" spans="1:8">
      <c r="A33" s="1" t="s">
        <v>91</v>
      </c>
      <c r="B33" s="1" t="s">
        <v>59</v>
      </c>
      <c r="C33" s="1" t="s">
        <v>147</v>
      </c>
      <c r="D33" s="1">
        <v>432</v>
      </c>
      <c r="E33" s="1">
        <v>46739.74</v>
      </c>
      <c r="F33" s="1" t="s">
        <v>16</v>
      </c>
      <c r="G33" s="2">
        <v>45413</v>
      </c>
      <c r="H33" s="1" t="s">
        <v>116</v>
      </c>
    </row>
    <row r="34" spans="1:8">
      <c r="A34" s="1" t="s">
        <v>92</v>
      </c>
      <c r="B34" s="1" t="s">
        <v>61</v>
      </c>
      <c r="C34" s="1" t="s">
        <v>148</v>
      </c>
      <c r="D34" s="1">
        <v>349</v>
      </c>
      <c r="E34" s="1">
        <v>33957.78</v>
      </c>
      <c r="F34" s="1" t="s">
        <v>15</v>
      </c>
      <c r="G34" s="2">
        <v>45377</v>
      </c>
      <c r="H34" s="1" t="s">
        <v>116</v>
      </c>
    </row>
    <row r="35" spans="1:8">
      <c r="A35" s="1" t="s">
        <v>93</v>
      </c>
      <c r="B35" s="1" t="s">
        <v>61</v>
      </c>
      <c r="C35" s="1" t="s">
        <v>149</v>
      </c>
      <c r="D35" s="1">
        <v>269</v>
      </c>
      <c r="E35" s="1">
        <v>29544.23</v>
      </c>
      <c r="F35" s="1" t="s">
        <v>19</v>
      </c>
      <c r="G35" s="2">
        <v>45500</v>
      </c>
      <c r="H35" s="1" t="s">
        <v>116</v>
      </c>
    </row>
    <row r="36" spans="1:8">
      <c r="A36" s="1" t="s">
        <v>94</v>
      </c>
      <c r="B36" s="1" t="s">
        <v>59</v>
      </c>
      <c r="C36" s="1" t="s">
        <v>150</v>
      </c>
      <c r="D36" s="1">
        <v>348</v>
      </c>
      <c r="E36" s="1">
        <v>14474.71</v>
      </c>
      <c r="F36" s="1" t="s">
        <v>18</v>
      </c>
      <c r="G36" s="2">
        <v>45540</v>
      </c>
      <c r="H36" s="1" t="s">
        <v>116</v>
      </c>
    </row>
    <row r="37" spans="1:8">
      <c r="A37" s="1" t="s">
        <v>95</v>
      </c>
      <c r="B37" s="1" t="s">
        <v>56</v>
      </c>
      <c r="C37" s="1" t="s">
        <v>151</v>
      </c>
      <c r="D37" s="1">
        <v>254</v>
      </c>
      <c r="E37" s="1">
        <v>24519.23</v>
      </c>
      <c r="F37" s="1" t="s">
        <v>15</v>
      </c>
      <c r="G37" s="2">
        <v>45538</v>
      </c>
      <c r="H37" s="1" t="s">
        <v>116</v>
      </c>
    </row>
    <row r="38" spans="1:8">
      <c r="A38" s="1" t="s">
        <v>96</v>
      </c>
      <c r="B38" s="1" t="s">
        <v>56</v>
      </c>
      <c r="C38" s="1" t="s">
        <v>152</v>
      </c>
      <c r="D38" s="1">
        <v>235</v>
      </c>
      <c r="E38" s="1">
        <v>49412.86</v>
      </c>
      <c r="F38" s="1" t="s">
        <v>16</v>
      </c>
      <c r="G38" s="2">
        <v>45401</v>
      </c>
      <c r="H38" s="1" t="s">
        <v>116</v>
      </c>
    </row>
    <row r="39" spans="1:8">
      <c r="A39" s="1" t="s">
        <v>97</v>
      </c>
      <c r="B39" s="1" t="s">
        <v>70</v>
      </c>
      <c r="C39" s="1" t="s">
        <v>153</v>
      </c>
      <c r="D39" s="1">
        <v>162</v>
      </c>
      <c r="E39" s="1">
        <v>42270.99</v>
      </c>
      <c r="F39" s="1" t="s">
        <v>15</v>
      </c>
      <c r="G39" s="2">
        <v>45497</v>
      </c>
      <c r="H39" s="1" t="s">
        <v>116</v>
      </c>
    </row>
    <row r="40" spans="1:8">
      <c r="A40" s="1" t="s">
        <v>98</v>
      </c>
      <c r="B40" s="1" t="s">
        <v>56</v>
      </c>
      <c r="C40" s="1" t="s">
        <v>154</v>
      </c>
      <c r="D40" s="1">
        <v>120</v>
      </c>
      <c r="E40" s="1">
        <v>19578.09</v>
      </c>
      <c r="F40" s="1" t="s">
        <v>16</v>
      </c>
      <c r="G40" s="2">
        <v>45322</v>
      </c>
      <c r="H40" s="1" t="s">
        <v>116</v>
      </c>
    </row>
    <row r="41" spans="1:8">
      <c r="A41" s="1" t="s">
        <v>99</v>
      </c>
      <c r="B41" s="1" t="s">
        <v>59</v>
      </c>
      <c r="C41" s="1" t="s">
        <v>155</v>
      </c>
      <c r="D41" s="1">
        <v>310</v>
      </c>
      <c r="E41" s="1">
        <v>19634.86</v>
      </c>
      <c r="F41" s="1" t="s">
        <v>16</v>
      </c>
      <c r="G41" s="2">
        <v>45376</v>
      </c>
      <c r="H41" s="1" t="s">
        <v>116</v>
      </c>
    </row>
    <row r="42" spans="1:8">
      <c r="A42" s="1" t="s">
        <v>100</v>
      </c>
      <c r="B42" s="1" t="s">
        <v>59</v>
      </c>
      <c r="C42" s="1" t="s">
        <v>156</v>
      </c>
      <c r="D42" s="1">
        <v>302</v>
      </c>
      <c r="E42" s="1">
        <v>32694.28</v>
      </c>
      <c r="F42" s="1" t="s">
        <v>18</v>
      </c>
      <c r="G42" s="2">
        <v>45486</v>
      </c>
      <c r="H42" s="1" t="s">
        <v>116</v>
      </c>
    </row>
    <row r="43" spans="1:8">
      <c r="A43" s="1" t="s">
        <v>101</v>
      </c>
      <c r="B43" s="1" t="s">
        <v>66</v>
      </c>
      <c r="C43" s="1" t="s">
        <v>157</v>
      </c>
      <c r="D43" s="1">
        <v>96</v>
      </c>
      <c r="E43" s="1">
        <v>13150.28</v>
      </c>
      <c r="F43" s="1" t="s">
        <v>15</v>
      </c>
      <c r="G43" s="2">
        <v>45293</v>
      </c>
      <c r="H43" s="1" t="s">
        <v>116</v>
      </c>
    </row>
    <row r="44" spans="1:8">
      <c r="A44" s="1" t="s">
        <v>102</v>
      </c>
      <c r="B44" s="1" t="s">
        <v>59</v>
      </c>
      <c r="C44" s="1" t="s">
        <v>158</v>
      </c>
      <c r="D44" s="1">
        <v>436</v>
      </c>
      <c r="E44" s="1">
        <v>39276.300000000003</v>
      </c>
      <c r="F44" s="1" t="s">
        <v>18</v>
      </c>
      <c r="G44" s="2">
        <v>45491</v>
      </c>
      <c r="H44" s="1" t="s">
        <v>116</v>
      </c>
    </row>
    <row r="45" spans="1:8">
      <c r="A45" s="1" t="s">
        <v>103</v>
      </c>
      <c r="B45" s="1" t="s">
        <v>56</v>
      </c>
      <c r="C45" s="1" t="s">
        <v>159</v>
      </c>
      <c r="D45" s="1">
        <v>74</v>
      </c>
      <c r="E45" s="1">
        <v>42640.93</v>
      </c>
      <c r="F45" s="1" t="s">
        <v>18</v>
      </c>
      <c r="G45" s="2">
        <v>45427</v>
      </c>
      <c r="H45" s="1" t="s">
        <v>116</v>
      </c>
    </row>
    <row r="46" spans="1:8">
      <c r="A46" s="1" t="s">
        <v>104</v>
      </c>
      <c r="B46" s="1" t="s">
        <v>70</v>
      </c>
      <c r="C46" s="1" t="s">
        <v>160</v>
      </c>
      <c r="D46" s="1">
        <v>490</v>
      </c>
      <c r="E46" s="1">
        <v>49119.38</v>
      </c>
      <c r="F46" s="1" t="s">
        <v>15</v>
      </c>
      <c r="G46" s="2">
        <v>45524</v>
      </c>
      <c r="H46" s="1" t="s">
        <v>116</v>
      </c>
    </row>
    <row r="47" spans="1:8">
      <c r="A47" s="1" t="s">
        <v>105</v>
      </c>
      <c r="B47" s="1" t="s">
        <v>66</v>
      </c>
      <c r="C47" s="1" t="s">
        <v>161</v>
      </c>
      <c r="D47" s="1">
        <v>106</v>
      </c>
      <c r="E47" s="1">
        <v>31308.25</v>
      </c>
      <c r="F47" s="1" t="s">
        <v>17</v>
      </c>
      <c r="G47" s="2">
        <v>45438</v>
      </c>
      <c r="H47" s="1" t="s">
        <v>116</v>
      </c>
    </row>
    <row r="48" spans="1:8">
      <c r="A48" s="1" t="s">
        <v>106</v>
      </c>
      <c r="B48" s="1" t="s">
        <v>56</v>
      </c>
      <c r="C48" s="1" t="s">
        <v>162</v>
      </c>
      <c r="D48" s="1">
        <v>128</v>
      </c>
      <c r="E48" s="1">
        <v>15030.42</v>
      </c>
      <c r="F48" s="1" t="s">
        <v>17</v>
      </c>
      <c r="G48" s="2">
        <v>45508</v>
      </c>
      <c r="H48" s="1" t="s">
        <v>116</v>
      </c>
    </row>
    <row r="49" spans="1:8">
      <c r="A49" s="1" t="s">
        <v>107</v>
      </c>
      <c r="B49" s="1" t="s">
        <v>70</v>
      </c>
      <c r="C49" s="1" t="s">
        <v>163</v>
      </c>
      <c r="D49" s="1">
        <v>371</v>
      </c>
      <c r="E49" s="1">
        <v>36390.03</v>
      </c>
      <c r="F49" s="1" t="s">
        <v>18</v>
      </c>
      <c r="G49" s="2">
        <v>45648</v>
      </c>
      <c r="H49" s="1" t="s">
        <v>116</v>
      </c>
    </row>
    <row r="50" spans="1:8">
      <c r="A50" s="1" t="s">
        <v>108</v>
      </c>
      <c r="B50" s="1" t="s">
        <v>56</v>
      </c>
      <c r="C50" s="1" t="s">
        <v>164</v>
      </c>
      <c r="D50" s="1">
        <v>131</v>
      </c>
      <c r="E50" s="1">
        <v>47873.95</v>
      </c>
      <c r="F50" s="1" t="s">
        <v>19</v>
      </c>
      <c r="G50" s="2">
        <v>45576</v>
      </c>
      <c r="H50" s="1" t="s">
        <v>116</v>
      </c>
    </row>
    <row r="51" spans="1:8">
      <c r="A51" s="1" t="s">
        <v>109</v>
      </c>
      <c r="B51" s="1" t="s">
        <v>66</v>
      </c>
      <c r="C51" s="1" t="s">
        <v>165</v>
      </c>
      <c r="D51" s="1">
        <v>455</v>
      </c>
      <c r="E51" s="1">
        <v>16605.080000000002</v>
      </c>
      <c r="F51" s="1" t="s">
        <v>18</v>
      </c>
      <c r="G51" s="2">
        <v>45630</v>
      </c>
      <c r="H51" s="1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E7F4-59B9-4775-9A35-7BFA9742590E}">
  <dimension ref="A1:H51"/>
  <sheetViews>
    <sheetView workbookViewId="0">
      <selection activeCell="K7" sqref="K7"/>
    </sheetView>
  </sheetViews>
  <sheetFormatPr defaultRowHeight="15"/>
  <sheetData>
    <row r="1" spans="1:8">
      <c r="A1" s="1" t="s">
        <v>110</v>
      </c>
      <c r="B1" s="1" t="s">
        <v>52</v>
      </c>
      <c r="C1" s="1" t="s">
        <v>111</v>
      </c>
      <c r="D1" s="1" t="s">
        <v>112</v>
      </c>
      <c r="E1" s="1" t="s">
        <v>113</v>
      </c>
      <c r="F1" s="1" t="s">
        <v>13</v>
      </c>
      <c r="G1" s="1" t="s">
        <v>114</v>
      </c>
      <c r="H1" s="1" t="s">
        <v>28</v>
      </c>
    </row>
    <row r="2" spans="1:8">
      <c r="A2" s="1" t="s">
        <v>55</v>
      </c>
      <c r="B2" s="1" t="s">
        <v>70</v>
      </c>
      <c r="C2" s="1" t="s">
        <v>166</v>
      </c>
      <c r="D2" s="1">
        <v>481</v>
      </c>
      <c r="E2" s="1">
        <v>36719.25</v>
      </c>
      <c r="F2" s="1" t="s">
        <v>16</v>
      </c>
      <c r="G2" s="2">
        <v>45627</v>
      </c>
      <c r="H2" s="1" t="s">
        <v>116</v>
      </c>
    </row>
    <row r="3" spans="1:8">
      <c r="A3" s="1" t="s">
        <v>57</v>
      </c>
      <c r="B3" s="1" t="s">
        <v>61</v>
      </c>
      <c r="C3" s="1" t="s">
        <v>167</v>
      </c>
      <c r="D3" s="1">
        <v>448</v>
      </c>
      <c r="E3" s="1">
        <v>33356.36</v>
      </c>
      <c r="F3" s="1" t="s">
        <v>18</v>
      </c>
      <c r="G3" s="2">
        <v>45456</v>
      </c>
      <c r="H3" s="1" t="s">
        <v>116</v>
      </c>
    </row>
    <row r="4" spans="1:8">
      <c r="A4" s="1" t="s">
        <v>58</v>
      </c>
      <c r="B4" s="1" t="s">
        <v>61</v>
      </c>
      <c r="C4" s="1" t="s">
        <v>168</v>
      </c>
      <c r="D4" s="1">
        <v>447</v>
      </c>
      <c r="E4" s="1">
        <v>24890.69</v>
      </c>
      <c r="F4" s="1" t="s">
        <v>19</v>
      </c>
      <c r="G4" s="2">
        <v>45530</v>
      </c>
      <c r="H4" s="1" t="s">
        <v>116</v>
      </c>
    </row>
    <row r="5" spans="1:8">
      <c r="A5" s="1" t="s">
        <v>60</v>
      </c>
      <c r="B5" s="1" t="s">
        <v>59</v>
      </c>
      <c r="C5" s="1" t="s">
        <v>169</v>
      </c>
      <c r="D5" s="1">
        <v>78</v>
      </c>
      <c r="E5" s="1">
        <v>33335.54</v>
      </c>
      <c r="F5" s="1" t="s">
        <v>19</v>
      </c>
      <c r="G5" s="2">
        <v>45518</v>
      </c>
      <c r="H5" s="1" t="s">
        <v>116</v>
      </c>
    </row>
    <row r="6" spans="1:8">
      <c r="A6" s="1" t="s">
        <v>62</v>
      </c>
      <c r="B6" s="1" t="s">
        <v>61</v>
      </c>
      <c r="C6" s="1" t="s">
        <v>170</v>
      </c>
      <c r="D6" s="1">
        <v>162</v>
      </c>
      <c r="E6" s="1">
        <v>28722</v>
      </c>
      <c r="F6" s="1" t="s">
        <v>18</v>
      </c>
      <c r="G6" s="2">
        <v>45518</v>
      </c>
      <c r="H6" s="1" t="s">
        <v>116</v>
      </c>
    </row>
    <row r="7" spans="1:8">
      <c r="A7" s="1" t="s">
        <v>63</v>
      </c>
      <c r="B7" s="1" t="s">
        <v>56</v>
      </c>
      <c r="C7" s="1" t="s">
        <v>171</v>
      </c>
      <c r="D7" s="1">
        <v>465</v>
      </c>
      <c r="E7" s="1">
        <v>19556.560000000001</v>
      </c>
      <c r="F7" s="1" t="s">
        <v>16</v>
      </c>
      <c r="G7" s="2">
        <v>45637</v>
      </c>
      <c r="H7" s="1" t="s">
        <v>116</v>
      </c>
    </row>
    <row r="8" spans="1:8">
      <c r="A8" s="1" t="s">
        <v>64</v>
      </c>
      <c r="B8" s="1" t="s">
        <v>66</v>
      </c>
      <c r="C8" s="1" t="s">
        <v>172</v>
      </c>
      <c r="D8" s="1">
        <v>71</v>
      </c>
      <c r="E8" s="1">
        <v>31629.040000000001</v>
      </c>
      <c r="F8" s="1" t="s">
        <v>16</v>
      </c>
      <c r="G8" s="2">
        <v>45401</v>
      </c>
      <c r="H8" s="1" t="s">
        <v>116</v>
      </c>
    </row>
    <row r="9" spans="1:8">
      <c r="A9" s="1" t="s">
        <v>65</v>
      </c>
      <c r="B9" s="1" t="s">
        <v>66</v>
      </c>
      <c r="C9" s="1" t="s">
        <v>173</v>
      </c>
      <c r="D9" s="1">
        <v>462</v>
      </c>
      <c r="E9" s="1">
        <v>48197.23</v>
      </c>
      <c r="F9" s="1" t="s">
        <v>17</v>
      </c>
      <c r="G9" s="2">
        <v>45553</v>
      </c>
      <c r="H9" s="1" t="s">
        <v>116</v>
      </c>
    </row>
    <row r="10" spans="1:8">
      <c r="A10" s="1" t="s">
        <v>67</v>
      </c>
      <c r="B10" s="1" t="s">
        <v>56</v>
      </c>
      <c r="C10" s="1" t="s">
        <v>174</v>
      </c>
      <c r="D10" s="1">
        <v>211</v>
      </c>
      <c r="E10" s="1">
        <v>37211.339999999997</v>
      </c>
      <c r="F10" s="1" t="s">
        <v>18</v>
      </c>
      <c r="G10" s="2">
        <v>45534</v>
      </c>
      <c r="H10" s="1" t="s">
        <v>116</v>
      </c>
    </row>
    <row r="11" spans="1:8">
      <c r="A11" s="1" t="s">
        <v>68</v>
      </c>
      <c r="B11" s="1" t="s">
        <v>59</v>
      </c>
      <c r="C11" s="1" t="s">
        <v>175</v>
      </c>
      <c r="D11" s="1">
        <v>250</v>
      </c>
      <c r="E11" s="1">
        <v>14582.07</v>
      </c>
      <c r="F11" s="1" t="s">
        <v>16</v>
      </c>
      <c r="G11" s="2">
        <v>45378</v>
      </c>
      <c r="H11" s="1" t="s">
        <v>116</v>
      </c>
    </row>
    <row r="12" spans="1:8">
      <c r="A12" s="1" t="s">
        <v>69</v>
      </c>
      <c r="B12" s="1" t="s">
        <v>56</v>
      </c>
      <c r="C12" s="1" t="s">
        <v>176</v>
      </c>
      <c r="D12" s="1">
        <v>182</v>
      </c>
      <c r="E12" s="1">
        <v>45891.54</v>
      </c>
      <c r="F12" s="1" t="s">
        <v>15</v>
      </c>
      <c r="G12" s="2">
        <v>45629</v>
      </c>
      <c r="H12" s="1" t="s">
        <v>116</v>
      </c>
    </row>
    <row r="13" spans="1:8">
      <c r="A13" s="1" t="s">
        <v>71</v>
      </c>
      <c r="B13" s="1" t="s">
        <v>56</v>
      </c>
      <c r="C13" s="1" t="s">
        <v>177</v>
      </c>
      <c r="D13" s="1">
        <v>83</v>
      </c>
      <c r="E13" s="1">
        <v>40535.11</v>
      </c>
      <c r="F13" s="1" t="s">
        <v>19</v>
      </c>
      <c r="G13" s="2">
        <v>45335</v>
      </c>
      <c r="H13" s="1" t="s">
        <v>116</v>
      </c>
    </row>
    <row r="14" spans="1:8">
      <c r="A14" s="1" t="s">
        <v>72</v>
      </c>
      <c r="B14" s="1" t="s">
        <v>66</v>
      </c>
      <c r="C14" s="1" t="s">
        <v>178</v>
      </c>
      <c r="D14" s="1">
        <v>153</v>
      </c>
      <c r="E14" s="1">
        <v>40243.949999999997</v>
      </c>
      <c r="F14" s="1" t="s">
        <v>17</v>
      </c>
      <c r="G14" s="2">
        <v>45437</v>
      </c>
      <c r="H14" s="1" t="s">
        <v>116</v>
      </c>
    </row>
    <row r="15" spans="1:8">
      <c r="A15" s="1" t="s">
        <v>73</v>
      </c>
      <c r="B15" s="1" t="s">
        <v>70</v>
      </c>
      <c r="C15" s="1" t="s">
        <v>179</v>
      </c>
      <c r="D15" s="1">
        <v>345</v>
      </c>
      <c r="E15" s="1">
        <v>23607.02</v>
      </c>
      <c r="F15" s="1" t="s">
        <v>18</v>
      </c>
      <c r="G15" s="2">
        <v>45555</v>
      </c>
      <c r="H15" s="1" t="s">
        <v>116</v>
      </c>
    </row>
    <row r="16" spans="1:8">
      <c r="A16" s="1" t="s">
        <v>74</v>
      </c>
      <c r="B16" s="1" t="s">
        <v>66</v>
      </c>
      <c r="C16" s="1" t="s">
        <v>180</v>
      </c>
      <c r="D16" s="1">
        <v>498</v>
      </c>
      <c r="E16" s="1">
        <v>21240.01</v>
      </c>
      <c r="F16" s="1" t="s">
        <v>17</v>
      </c>
      <c r="G16" s="2">
        <v>45631</v>
      </c>
      <c r="H16" s="1" t="s">
        <v>116</v>
      </c>
    </row>
    <row r="17" spans="1:8">
      <c r="A17" s="1" t="s">
        <v>75</v>
      </c>
      <c r="B17" s="1" t="s">
        <v>66</v>
      </c>
      <c r="C17" s="1" t="s">
        <v>181</v>
      </c>
      <c r="D17" s="1">
        <v>412</v>
      </c>
      <c r="E17" s="1">
        <v>16826.310000000001</v>
      </c>
      <c r="F17" s="1" t="s">
        <v>16</v>
      </c>
      <c r="G17" s="2">
        <v>45616</v>
      </c>
      <c r="H17" s="1" t="s">
        <v>116</v>
      </c>
    </row>
    <row r="18" spans="1:8">
      <c r="A18" s="1" t="s">
        <v>76</v>
      </c>
      <c r="B18" s="1" t="s">
        <v>61</v>
      </c>
      <c r="C18" s="1" t="s">
        <v>182</v>
      </c>
      <c r="D18" s="1">
        <v>216</v>
      </c>
      <c r="E18" s="1">
        <v>9629.81</v>
      </c>
      <c r="F18" s="1" t="s">
        <v>16</v>
      </c>
      <c r="G18" s="2">
        <v>45609</v>
      </c>
      <c r="H18" s="1" t="s">
        <v>116</v>
      </c>
    </row>
    <row r="19" spans="1:8">
      <c r="A19" s="1" t="s">
        <v>77</v>
      </c>
      <c r="B19" s="1" t="s">
        <v>56</v>
      </c>
      <c r="C19" s="1" t="s">
        <v>183</v>
      </c>
      <c r="D19" s="1">
        <v>158</v>
      </c>
      <c r="E19" s="1">
        <v>38883.68</v>
      </c>
      <c r="F19" s="1" t="s">
        <v>15</v>
      </c>
      <c r="G19" s="2">
        <v>45463</v>
      </c>
      <c r="H19" s="1" t="s">
        <v>116</v>
      </c>
    </row>
    <row r="20" spans="1:8">
      <c r="A20" s="1" t="s">
        <v>78</v>
      </c>
      <c r="B20" s="1" t="s">
        <v>66</v>
      </c>
      <c r="C20" s="1" t="s">
        <v>184</v>
      </c>
      <c r="D20" s="1">
        <v>390</v>
      </c>
      <c r="E20" s="1">
        <v>38287.230000000003</v>
      </c>
      <c r="F20" s="1" t="s">
        <v>19</v>
      </c>
      <c r="G20" s="2">
        <v>45339</v>
      </c>
      <c r="H20" s="1" t="s">
        <v>116</v>
      </c>
    </row>
    <row r="21" spans="1:8">
      <c r="A21" s="1" t="s">
        <v>79</v>
      </c>
      <c r="B21" s="1" t="s">
        <v>56</v>
      </c>
      <c r="C21" s="1" t="s">
        <v>185</v>
      </c>
      <c r="D21" s="1">
        <v>310</v>
      </c>
      <c r="E21" s="1">
        <v>48875.519999999997</v>
      </c>
      <c r="F21" s="1" t="s">
        <v>18</v>
      </c>
      <c r="G21" s="2">
        <v>45412</v>
      </c>
      <c r="H21" s="1" t="s">
        <v>116</v>
      </c>
    </row>
    <row r="22" spans="1:8">
      <c r="A22" s="1" t="s">
        <v>80</v>
      </c>
      <c r="B22" s="1" t="s">
        <v>61</v>
      </c>
      <c r="C22" s="1" t="s">
        <v>186</v>
      </c>
      <c r="D22" s="1">
        <v>252</v>
      </c>
      <c r="E22" s="1">
        <v>39978.49</v>
      </c>
      <c r="F22" s="1" t="s">
        <v>17</v>
      </c>
      <c r="G22" s="2">
        <v>45636</v>
      </c>
      <c r="H22" s="1" t="s">
        <v>116</v>
      </c>
    </row>
    <row r="23" spans="1:8">
      <c r="A23" s="1" t="s">
        <v>81</v>
      </c>
      <c r="B23" s="1" t="s">
        <v>56</v>
      </c>
      <c r="C23" s="1" t="s">
        <v>187</v>
      </c>
      <c r="D23" s="1">
        <v>384</v>
      </c>
      <c r="E23" s="1">
        <v>29807.27</v>
      </c>
      <c r="F23" s="1" t="s">
        <v>19</v>
      </c>
      <c r="G23" s="2">
        <v>45450</v>
      </c>
      <c r="H23" s="1" t="s">
        <v>116</v>
      </c>
    </row>
    <row r="24" spans="1:8">
      <c r="A24" s="1" t="s">
        <v>82</v>
      </c>
      <c r="B24" s="1" t="s">
        <v>66</v>
      </c>
      <c r="C24" s="1" t="s">
        <v>188</v>
      </c>
      <c r="D24" s="1">
        <v>279</v>
      </c>
      <c r="E24" s="1">
        <v>14256.43</v>
      </c>
      <c r="F24" s="1" t="s">
        <v>16</v>
      </c>
      <c r="G24" s="2">
        <v>45407</v>
      </c>
      <c r="H24" s="1" t="s">
        <v>116</v>
      </c>
    </row>
    <row r="25" spans="1:8">
      <c r="A25" s="1" t="s">
        <v>83</v>
      </c>
      <c r="B25" s="1" t="s">
        <v>56</v>
      </c>
      <c r="C25" s="1" t="s">
        <v>189</v>
      </c>
      <c r="D25" s="1">
        <v>118</v>
      </c>
      <c r="E25" s="1">
        <v>35012.01</v>
      </c>
      <c r="F25" s="1" t="s">
        <v>19</v>
      </c>
      <c r="G25" s="2">
        <v>45393</v>
      </c>
      <c r="H25" s="1" t="s">
        <v>116</v>
      </c>
    </row>
    <row r="26" spans="1:8">
      <c r="A26" s="1" t="s">
        <v>84</v>
      </c>
      <c r="B26" s="1" t="s">
        <v>61</v>
      </c>
      <c r="C26" s="1" t="s">
        <v>190</v>
      </c>
      <c r="D26" s="1">
        <v>180</v>
      </c>
      <c r="E26" s="1">
        <v>43666.77</v>
      </c>
      <c r="F26" s="1" t="s">
        <v>17</v>
      </c>
      <c r="G26" s="2">
        <v>45367</v>
      </c>
      <c r="H26" s="1" t="s">
        <v>116</v>
      </c>
    </row>
    <row r="27" spans="1:8">
      <c r="A27" s="1" t="s">
        <v>85</v>
      </c>
      <c r="B27" s="1" t="s">
        <v>70</v>
      </c>
      <c r="C27" s="1" t="s">
        <v>191</v>
      </c>
      <c r="D27" s="1">
        <v>126</v>
      </c>
      <c r="E27" s="1">
        <v>29806.52</v>
      </c>
      <c r="F27" s="1" t="s">
        <v>19</v>
      </c>
      <c r="G27" s="2">
        <v>45304</v>
      </c>
      <c r="H27" s="1" t="s">
        <v>116</v>
      </c>
    </row>
    <row r="28" spans="1:8">
      <c r="A28" s="1" t="s">
        <v>86</v>
      </c>
      <c r="B28" s="1" t="s">
        <v>56</v>
      </c>
      <c r="C28" s="1" t="s">
        <v>192</v>
      </c>
      <c r="D28" s="1">
        <v>171</v>
      </c>
      <c r="E28" s="1">
        <v>17456.439999999999</v>
      </c>
      <c r="F28" s="1" t="s">
        <v>16</v>
      </c>
      <c r="G28" s="2">
        <v>45315</v>
      </c>
      <c r="H28" s="1" t="s">
        <v>116</v>
      </c>
    </row>
    <row r="29" spans="1:8">
      <c r="A29" s="1" t="s">
        <v>87</v>
      </c>
      <c r="B29" s="1" t="s">
        <v>66</v>
      </c>
      <c r="C29" s="1" t="s">
        <v>193</v>
      </c>
      <c r="D29" s="1">
        <v>436</v>
      </c>
      <c r="E29" s="1">
        <v>24456.55</v>
      </c>
      <c r="F29" s="1" t="s">
        <v>19</v>
      </c>
      <c r="G29" s="2">
        <v>45417</v>
      </c>
      <c r="H29" s="1" t="s">
        <v>116</v>
      </c>
    </row>
    <row r="30" spans="1:8">
      <c r="A30" s="1" t="s">
        <v>88</v>
      </c>
      <c r="B30" s="1" t="s">
        <v>61</v>
      </c>
      <c r="C30" s="1" t="s">
        <v>194</v>
      </c>
      <c r="D30" s="1">
        <v>332</v>
      </c>
      <c r="E30" s="1">
        <v>16961.96</v>
      </c>
      <c r="F30" s="1" t="s">
        <v>18</v>
      </c>
      <c r="G30" s="2">
        <v>45535</v>
      </c>
      <c r="H30" s="1" t="s">
        <v>116</v>
      </c>
    </row>
    <row r="31" spans="1:8">
      <c r="A31" s="1" t="s">
        <v>89</v>
      </c>
      <c r="B31" s="1" t="s">
        <v>66</v>
      </c>
      <c r="C31" s="1" t="s">
        <v>195</v>
      </c>
      <c r="D31" s="1">
        <v>325</v>
      </c>
      <c r="E31" s="1">
        <v>47639.99</v>
      </c>
      <c r="F31" s="1" t="s">
        <v>19</v>
      </c>
      <c r="G31" s="2">
        <v>45604</v>
      </c>
      <c r="H31" s="1" t="s">
        <v>116</v>
      </c>
    </row>
    <row r="32" spans="1:8">
      <c r="A32" s="1" t="s">
        <v>90</v>
      </c>
      <c r="B32" s="1" t="s">
        <v>66</v>
      </c>
      <c r="C32" s="1" t="s">
        <v>196</v>
      </c>
      <c r="D32" s="1">
        <v>189</v>
      </c>
      <c r="E32" s="1">
        <v>46897.36</v>
      </c>
      <c r="F32" s="1" t="s">
        <v>18</v>
      </c>
      <c r="G32" s="2">
        <v>45329</v>
      </c>
      <c r="H32" s="1" t="s">
        <v>116</v>
      </c>
    </row>
    <row r="33" spans="1:8">
      <c r="A33" s="1" t="s">
        <v>91</v>
      </c>
      <c r="B33" s="1" t="s">
        <v>56</v>
      </c>
      <c r="C33" s="1" t="s">
        <v>197</v>
      </c>
      <c r="D33" s="1">
        <v>437</v>
      </c>
      <c r="E33" s="1">
        <v>46739.74</v>
      </c>
      <c r="F33" s="1" t="s">
        <v>19</v>
      </c>
      <c r="G33" s="2">
        <v>45525</v>
      </c>
      <c r="H33" s="1" t="s">
        <v>116</v>
      </c>
    </row>
    <row r="34" spans="1:8">
      <c r="A34" s="1" t="s">
        <v>92</v>
      </c>
      <c r="B34" s="1" t="s">
        <v>66</v>
      </c>
      <c r="C34" s="1" t="s">
        <v>198</v>
      </c>
      <c r="D34" s="1">
        <v>344</v>
      </c>
      <c r="E34" s="1">
        <v>33957.78</v>
      </c>
      <c r="F34" s="1" t="s">
        <v>16</v>
      </c>
      <c r="G34" s="2">
        <v>45504</v>
      </c>
      <c r="H34" s="1" t="s">
        <v>116</v>
      </c>
    </row>
    <row r="35" spans="1:8">
      <c r="A35" s="1" t="s">
        <v>93</v>
      </c>
      <c r="B35" s="1" t="s">
        <v>56</v>
      </c>
      <c r="C35" s="1" t="s">
        <v>199</v>
      </c>
      <c r="D35" s="1">
        <v>269</v>
      </c>
      <c r="E35" s="1">
        <v>29044.23</v>
      </c>
      <c r="F35" s="1" t="s">
        <v>15</v>
      </c>
      <c r="G35" s="2">
        <v>45614</v>
      </c>
      <c r="H35" s="1" t="s">
        <v>116</v>
      </c>
    </row>
    <row r="36" spans="1:8">
      <c r="A36" s="1" t="s">
        <v>94</v>
      </c>
      <c r="B36" s="1" t="s">
        <v>70</v>
      </c>
      <c r="C36" s="1" t="s">
        <v>200</v>
      </c>
      <c r="D36" s="1">
        <v>343</v>
      </c>
      <c r="E36" s="1">
        <v>14474.71</v>
      </c>
      <c r="F36" s="1" t="s">
        <v>15</v>
      </c>
      <c r="G36" s="2">
        <v>45586</v>
      </c>
      <c r="H36" s="1" t="s">
        <v>116</v>
      </c>
    </row>
    <row r="37" spans="1:8">
      <c r="A37" s="1" t="s">
        <v>95</v>
      </c>
      <c r="B37" s="1" t="s">
        <v>66</v>
      </c>
      <c r="C37" s="1" t="s">
        <v>201</v>
      </c>
      <c r="D37" s="1">
        <v>249</v>
      </c>
      <c r="E37" s="1">
        <v>24519.23</v>
      </c>
      <c r="F37" s="1" t="s">
        <v>18</v>
      </c>
      <c r="G37" s="2">
        <v>45391</v>
      </c>
      <c r="H37" s="1" t="s">
        <v>116</v>
      </c>
    </row>
    <row r="38" spans="1:8">
      <c r="A38" s="1" t="s">
        <v>96</v>
      </c>
      <c r="B38" s="1" t="s">
        <v>66</v>
      </c>
      <c r="C38" s="1" t="s">
        <v>202</v>
      </c>
      <c r="D38" s="1">
        <v>235</v>
      </c>
      <c r="E38" s="1">
        <v>49912.86</v>
      </c>
      <c r="F38" s="1" t="s">
        <v>18</v>
      </c>
      <c r="G38" s="2">
        <v>45648</v>
      </c>
      <c r="H38" s="1" t="s">
        <v>116</v>
      </c>
    </row>
    <row r="39" spans="1:8">
      <c r="A39" s="1" t="s">
        <v>97</v>
      </c>
      <c r="B39" s="1" t="s">
        <v>66</v>
      </c>
      <c r="C39" s="1" t="s">
        <v>203</v>
      </c>
      <c r="D39" s="1">
        <v>162</v>
      </c>
      <c r="E39" s="1">
        <v>42770.99</v>
      </c>
      <c r="F39" s="1" t="s">
        <v>15</v>
      </c>
      <c r="G39" s="2">
        <v>45488</v>
      </c>
      <c r="H39" s="1" t="s">
        <v>116</v>
      </c>
    </row>
    <row r="40" spans="1:8">
      <c r="A40" s="1" t="s">
        <v>98</v>
      </c>
      <c r="B40" s="1" t="s">
        <v>59</v>
      </c>
      <c r="C40" s="1" t="s">
        <v>204</v>
      </c>
      <c r="D40" s="1">
        <v>115</v>
      </c>
      <c r="E40" s="1">
        <v>19578.09</v>
      </c>
      <c r="F40" s="1" t="s">
        <v>16</v>
      </c>
      <c r="G40" s="2">
        <v>45545</v>
      </c>
      <c r="H40" s="1" t="s">
        <v>116</v>
      </c>
    </row>
    <row r="41" spans="1:8">
      <c r="A41" s="1" t="s">
        <v>99</v>
      </c>
      <c r="B41" s="1" t="s">
        <v>59</v>
      </c>
      <c r="C41" s="1" t="s">
        <v>205</v>
      </c>
      <c r="D41" s="1">
        <v>310</v>
      </c>
      <c r="E41" s="1">
        <v>20134.86</v>
      </c>
      <c r="F41" s="1" t="s">
        <v>16</v>
      </c>
      <c r="G41" s="2">
        <v>45496</v>
      </c>
      <c r="H41" s="1" t="s">
        <v>116</v>
      </c>
    </row>
    <row r="42" spans="1:8">
      <c r="A42" s="1" t="s">
        <v>100</v>
      </c>
      <c r="B42" s="1" t="s">
        <v>61</v>
      </c>
      <c r="C42" s="1" t="s">
        <v>206</v>
      </c>
      <c r="D42" s="1">
        <v>297</v>
      </c>
      <c r="E42" s="1">
        <v>33194.28</v>
      </c>
      <c r="F42" s="1" t="s">
        <v>19</v>
      </c>
      <c r="G42" s="2">
        <v>45416</v>
      </c>
      <c r="H42" s="1" t="s">
        <v>116</v>
      </c>
    </row>
    <row r="43" spans="1:8">
      <c r="A43" s="1" t="s">
        <v>101</v>
      </c>
      <c r="B43" s="1" t="s">
        <v>59</v>
      </c>
      <c r="C43" s="1" t="s">
        <v>207</v>
      </c>
      <c r="D43" s="1">
        <v>101</v>
      </c>
      <c r="E43" s="1">
        <v>13150.28</v>
      </c>
      <c r="F43" s="1" t="s">
        <v>18</v>
      </c>
      <c r="G43" s="2">
        <v>45367</v>
      </c>
      <c r="H43" s="1" t="s">
        <v>116</v>
      </c>
    </row>
    <row r="44" spans="1:8">
      <c r="A44" s="1" t="s">
        <v>102</v>
      </c>
      <c r="B44" s="1" t="s">
        <v>61</v>
      </c>
      <c r="C44" s="1" t="s">
        <v>208</v>
      </c>
      <c r="D44" s="1">
        <v>431</v>
      </c>
      <c r="E44" s="1">
        <v>38776.300000000003</v>
      </c>
      <c r="F44" s="1" t="s">
        <v>16</v>
      </c>
      <c r="G44" s="2">
        <v>45627</v>
      </c>
      <c r="H44" s="1" t="s">
        <v>116</v>
      </c>
    </row>
    <row r="45" spans="1:8">
      <c r="A45" s="1" t="s">
        <v>103</v>
      </c>
      <c r="B45" s="1" t="s">
        <v>59</v>
      </c>
      <c r="C45" s="1" t="s">
        <v>209</v>
      </c>
      <c r="D45" s="1">
        <v>79</v>
      </c>
      <c r="E45" s="1">
        <v>42140.93</v>
      </c>
      <c r="F45" s="1" t="s">
        <v>17</v>
      </c>
      <c r="G45" s="2">
        <v>45644</v>
      </c>
      <c r="H45" s="1" t="s">
        <v>116</v>
      </c>
    </row>
    <row r="46" spans="1:8">
      <c r="A46" s="1" t="s">
        <v>104</v>
      </c>
      <c r="B46" s="1" t="s">
        <v>70</v>
      </c>
      <c r="C46" s="1" t="s">
        <v>210</v>
      </c>
      <c r="D46" s="1">
        <v>485</v>
      </c>
      <c r="E46" s="1">
        <v>49119.38</v>
      </c>
      <c r="F46" s="1" t="s">
        <v>19</v>
      </c>
      <c r="G46" s="2">
        <v>45294</v>
      </c>
      <c r="H46" s="1" t="s">
        <v>116</v>
      </c>
    </row>
    <row r="47" spans="1:8">
      <c r="A47" s="1" t="s">
        <v>105</v>
      </c>
      <c r="B47" s="1" t="s">
        <v>61</v>
      </c>
      <c r="C47" s="1" t="s">
        <v>211</v>
      </c>
      <c r="D47" s="1">
        <v>106</v>
      </c>
      <c r="E47" s="1">
        <v>30808.25</v>
      </c>
      <c r="F47" s="1" t="s">
        <v>19</v>
      </c>
      <c r="G47" s="2">
        <v>45346</v>
      </c>
      <c r="H47" s="1" t="s">
        <v>116</v>
      </c>
    </row>
    <row r="48" spans="1:8">
      <c r="A48" s="1" t="s">
        <v>106</v>
      </c>
      <c r="B48" s="1" t="s">
        <v>59</v>
      </c>
      <c r="C48" s="1" t="s">
        <v>212</v>
      </c>
      <c r="D48" s="1">
        <v>133</v>
      </c>
      <c r="E48" s="1">
        <v>15530.42</v>
      </c>
      <c r="F48" s="1" t="s">
        <v>15</v>
      </c>
      <c r="G48" s="2">
        <v>45509</v>
      </c>
      <c r="H48" s="1" t="s">
        <v>116</v>
      </c>
    </row>
    <row r="49" spans="1:8">
      <c r="A49" s="1" t="s">
        <v>107</v>
      </c>
      <c r="B49" s="1" t="s">
        <v>70</v>
      </c>
      <c r="C49" s="1" t="s">
        <v>213</v>
      </c>
      <c r="D49" s="1">
        <v>371</v>
      </c>
      <c r="E49" s="1">
        <v>36390.03</v>
      </c>
      <c r="F49" s="1" t="s">
        <v>18</v>
      </c>
      <c r="G49" s="2">
        <v>45404</v>
      </c>
      <c r="H49" s="1" t="s">
        <v>116</v>
      </c>
    </row>
    <row r="50" spans="1:8">
      <c r="A50" s="1" t="s">
        <v>108</v>
      </c>
      <c r="B50" s="1" t="s">
        <v>59</v>
      </c>
      <c r="C50" s="1" t="s">
        <v>214</v>
      </c>
      <c r="D50" s="1">
        <v>136</v>
      </c>
      <c r="E50" s="1">
        <v>47373.95</v>
      </c>
      <c r="F50" s="1" t="s">
        <v>16</v>
      </c>
      <c r="G50" s="2">
        <v>45382</v>
      </c>
      <c r="H50" s="1" t="s">
        <v>116</v>
      </c>
    </row>
    <row r="51" spans="1:8">
      <c r="A51" s="1" t="s">
        <v>109</v>
      </c>
      <c r="B51" s="1" t="s">
        <v>56</v>
      </c>
      <c r="C51" s="1" t="s">
        <v>215</v>
      </c>
      <c r="D51" s="1">
        <v>460</v>
      </c>
      <c r="E51" s="1">
        <v>16105.08</v>
      </c>
      <c r="F51" s="1" t="s">
        <v>16</v>
      </c>
      <c r="G51" s="2">
        <v>45648</v>
      </c>
      <c r="H5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2025-10-27T05:46:40Z</dcterms:created>
  <dcterms:modified xsi:type="dcterms:W3CDTF">2025-10-27T16:38:13Z</dcterms:modified>
  <cp:category/>
  <cp:contentStatus/>
</cp:coreProperties>
</file>